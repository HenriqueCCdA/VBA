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628" codeName="{4D1C537B-E38A-612A-F078-A93A15B4B7F4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D:\repositorios\pessoal\VB\Lancamento\"/>
    </mc:Choice>
  </mc:AlternateContent>
  <xr:revisionPtr revIDLastSave="0" documentId="13_ncr:1_{AD5C51D4-A79E-41C5-B915-362573F6A999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Lançamento" sheetId="5" r:id="rId1"/>
    <sheet name="Calculos" sheetId="6" r:id="rId2"/>
  </sheets>
  <functionGroups builtInGroupCount="19"/>
  <definedNames>
    <definedName name="coef_Arrasto">Lançamento!$B$5</definedName>
    <definedName name="Dados">Calculos!$A$2:$E$91</definedName>
    <definedName name="dt_s">Lançamento!$B$6</definedName>
    <definedName name="g_m_s2">Lançamento!$B$4</definedName>
    <definedName name="tempo">Tabela1[tempo(s)]</definedName>
    <definedName name="Theta_°">Lançamento!$B$3</definedName>
    <definedName name="V0_m_s">Lançamento!$B$2</definedName>
    <definedName name="Vx0">Lançamento!$E$2</definedName>
    <definedName name="Vy0">Lançamento!$E$3</definedName>
    <definedName name="x_cr">Tabela1[x_cr(m)]</definedName>
    <definedName name="x_sr">Tabela1[x_sr(m)]</definedName>
    <definedName name="y_cr">Tabela1[y_cr(m)]</definedName>
    <definedName name="y_sr">Tabela1[y_sr(m)]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5" l="1"/>
  <c r="G3" i="6" a="1"/>
  <c r="C3" i="6" a="1"/>
  <c r="E3" i="6" a="1"/>
  <c r="C3" i="6" l="1"/>
  <c r="G3" i="6"/>
  <c r="E3" i="6"/>
  <c r="A4" i="6"/>
  <c r="E2" i="5"/>
  <c r="C4" i="6" a="1"/>
  <c r="B4" i="6" a="1"/>
  <c r="B3" i="6" a="1"/>
  <c r="E4" i="6" a="1"/>
  <c r="D4" i="6" a="1"/>
  <c r="D3" i="6" a="1"/>
  <c r="C4" i="6" l="1"/>
  <c r="B3" i="6"/>
  <c r="B4" i="6"/>
  <c r="E4" i="6"/>
  <c r="D3" i="6"/>
  <c r="D4" i="6"/>
  <c r="A5" i="6"/>
  <c r="B5" i="6" a="1"/>
  <c r="C5" i="6" a="1"/>
  <c r="D5" i="6" a="1"/>
  <c r="E5" i="6" a="1"/>
  <c r="C5" i="6" l="1"/>
  <c r="B5" i="6"/>
  <c r="E5" i="6"/>
  <c r="D5" i="6"/>
  <c r="A6" i="6"/>
  <c r="B6" i="6" a="1"/>
  <c r="C6" i="6" a="1"/>
  <c r="D6" i="6" a="1"/>
  <c r="E6" i="6" a="1"/>
  <c r="C6" i="6" l="1"/>
  <c r="B6" i="6"/>
  <c r="E6" i="6"/>
  <c r="D6" i="6"/>
  <c r="A7" i="6"/>
  <c r="B7" i="6" a="1"/>
  <c r="C7" i="6" a="1"/>
  <c r="D7" i="6" a="1"/>
  <c r="E7" i="6" a="1"/>
  <c r="C7" i="6" l="1"/>
  <c r="B7" i="6"/>
  <c r="E7" i="6"/>
  <c r="D7" i="6"/>
  <c r="A8" i="6"/>
  <c r="B8" i="6" a="1"/>
  <c r="C8" i="6" a="1"/>
  <c r="D8" i="6" a="1"/>
  <c r="E8" i="6" a="1"/>
  <c r="C8" i="6" l="1"/>
  <c r="B8" i="6"/>
  <c r="E8" i="6"/>
  <c r="D8" i="6"/>
  <c r="A9" i="6"/>
  <c r="B9" i="6" a="1"/>
  <c r="C9" i="6" a="1"/>
  <c r="D9" i="6" a="1"/>
  <c r="E9" i="6" a="1"/>
  <c r="C9" i="6" l="1"/>
  <c r="B9" i="6"/>
  <c r="E9" i="6"/>
  <c r="D9" i="6"/>
  <c r="A10" i="6"/>
  <c r="B10" i="6" a="1"/>
  <c r="C10" i="6" a="1"/>
  <c r="D10" i="6" a="1"/>
  <c r="E10" i="6" a="1"/>
  <c r="C10" i="6" l="1"/>
  <c r="B10" i="6"/>
  <c r="E10" i="6"/>
  <c r="D10" i="6"/>
  <c r="A11" i="6"/>
  <c r="B11" i="6" a="1"/>
  <c r="C11" i="6" a="1"/>
  <c r="D11" i="6" a="1"/>
  <c r="E11" i="6" a="1"/>
  <c r="C11" i="6" l="1"/>
  <c r="B11" i="6"/>
  <c r="E11" i="6"/>
  <c r="D11" i="6"/>
  <c r="A12" i="6"/>
  <c r="B12" i="6" a="1"/>
  <c r="C12" i="6" a="1"/>
  <c r="D12" i="6" a="1"/>
  <c r="E12" i="6" a="1"/>
  <c r="C12" i="6" l="1"/>
  <c r="B12" i="6"/>
  <c r="E12" i="6"/>
  <c r="D12" i="6"/>
  <c r="A13" i="6"/>
  <c r="B13" i="6" a="1"/>
  <c r="C13" i="6" a="1"/>
  <c r="D13" i="6" a="1"/>
  <c r="E13" i="6" a="1"/>
  <c r="C13" i="6" l="1"/>
  <c r="B13" i="6"/>
  <c r="E13" i="6"/>
  <c r="D13" i="6"/>
  <c r="A14" i="6"/>
  <c r="B14" i="6" a="1"/>
  <c r="C14" i="6" a="1"/>
  <c r="D14" i="6" a="1"/>
  <c r="E14" i="6" a="1"/>
  <c r="C14" i="6" l="1"/>
  <c r="B14" i="6"/>
  <c r="E14" i="6"/>
  <c r="D14" i="6"/>
  <c r="A15" i="6"/>
  <c r="B15" i="6" a="1"/>
  <c r="C15" i="6" a="1"/>
  <c r="D15" i="6" a="1"/>
  <c r="E15" i="6" a="1"/>
  <c r="C15" i="6" l="1"/>
  <c r="B15" i="6"/>
  <c r="E15" i="6"/>
  <c r="D15" i="6"/>
  <c r="A16" i="6"/>
  <c r="B16" i="6" a="1"/>
  <c r="C16" i="6" a="1"/>
  <c r="D16" i="6" a="1"/>
  <c r="E16" i="6" a="1"/>
  <c r="C16" i="6" l="1"/>
  <c r="B16" i="6"/>
  <c r="E16" i="6"/>
  <c r="D16" i="6"/>
  <c r="A17" i="6"/>
  <c r="B17" i="6" a="1"/>
  <c r="C17" i="6" a="1"/>
  <c r="D17" i="6" a="1"/>
  <c r="E17" i="6" a="1"/>
  <c r="C17" i="6" l="1"/>
  <c r="B17" i="6"/>
  <c r="E17" i="6"/>
  <c r="D17" i="6"/>
  <c r="A18" i="6"/>
  <c r="B18" i="6" a="1"/>
  <c r="C18" i="6" a="1"/>
  <c r="D18" i="6" a="1"/>
  <c r="E18" i="6" a="1"/>
  <c r="C18" i="6" l="1"/>
  <c r="B18" i="6"/>
  <c r="E18" i="6"/>
  <c r="D18" i="6"/>
  <c r="A19" i="6"/>
  <c r="B19" i="6" a="1"/>
  <c r="C19" i="6" a="1"/>
  <c r="D19" i="6" a="1"/>
  <c r="E19" i="6" a="1"/>
  <c r="C19" i="6" l="1"/>
  <c r="B19" i="6"/>
  <c r="E19" i="6"/>
  <c r="D19" i="6"/>
  <c r="A20" i="6"/>
  <c r="B20" i="6" a="1"/>
  <c r="C20" i="6" a="1"/>
  <c r="D20" i="6" a="1"/>
  <c r="E20" i="6" a="1"/>
  <c r="C20" i="6" l="1"/>
  <c r="B20" i="6"/>
  <c r="E20" i="6"/>
  <c r="D20" i="6"/>
  <c r="A21" i="6"/>
  <c r="B21" i="6" a="1"/>
  <c r="C21" i="6" a="1"/>
  <c r="D21" i="6" a="1"/>
  <c r="E21" i="6" a="1"/>
  <c r="C21" i="6" l="1"/>
  <c r="B21" i="6"/>
  <c r="E21" i="6"/>
  <c r="D21" i="6"/>
  <c r="A22" i="6"/>
  <c r="B22" i="6" a="1"/>
  <c r="C22" i="6" a="1"/>
  <c r="D22" i="6" a="1"/>
  <c r="E22" i="6" a="1"/>
  <c r="C22" i="6" l="1"/>
  <c r="B22" i="6"/>
  <c r="E22" i="6"/>
  <c r="D22" i="6"/>
  <c r="A23" i="6"/>
  <c r="B23" i="6" a="1"/>
  <c r="C23" i="6" a="1"/>
  <c r="D23" i="6" a="1"/>
  <c r="E23" i="6" a="1"/>
  <c r="C23" i="6" l="1"/>
  <c r="B23" i="6"/>
  <c r="E23" i="6"/>
  <c r="D23" i="6"/>
  <c r="A24" i="6"/>
  <c r="B24" i="6" a="1"/>
  <c r="C24" i="6" a="1"/>
  <c r="D24" i="6" a="1"/>
  <c r="E24" i="6" a="1"/>
  <c r="C24" i="6" l="1"/>
  <c r="B24" i="6"/>
  <c r="E24" i="6"/>
  <c r="D24" i="6"/>
  <c r="A25" i="6"/>
  <c r="B25" i="6" a="1"/>
  <c r="C25" i="6" a="1"/>
  <c r="D25" i="6" a="1"/>
  <c r="E25" i="6" a="1"/>
  <c r="C25" i="6" l="1"/>
  <c r="B25" i="6"/>
  <c r="E25" i="6"/>
  <c r="D25" i="6"/>
  <c r="A26" i="6"/>
  <c r="B26" i="6" a="1"/>
  <c r="C26" i="6" a="1"/>
  <c r="D26" i="6" a="1"/>
  <c r="E26" i="6" a="1"/>
  <c r="C26" i="6" l="1"/>
  <c r="B26" i="6"/>
  <c r="E26" i="6"/>
  <c r="D26" i="6"/>
  <c r="A27" i="6"/>
  <c r="B27" i="6" a="1"/>
  <c r="C27" i="6" a="1"/>
  <c r="D27" i="6" a="1"/>
  <c r="E27" i="6" a="1"/>
  <c r="C27" i="6" l="1"/>
  <c r="B27" i="6"/>
  <c r="E27" i="6"/>
  <c r="D27" i="6"/>
  <c r="A28" i="6"/>
  <c r="B28" i="6" a="1"/>
  <c r="C28" i="6" a="1"/>
  <c r="D28" i="6" a="1"/>
  <c r="E28" i="6" a="1"/>
  <c r="C28" i="6" l="1"/>
  <c r="B28" i="6"/>
  <c r="E28" i="6"/>
  <c r="D28" i="6"/>
  <c r="A29" i="6"/>
  <c r="B29" i="6" a="1"/>
  <c r="C29" i="6" a="1"/>
  <c r="D29" i="6" a="1"/>
  <c r="E29" i="6" a="1"/>
  <c r="C29" i="6" l="1"/>
  <c r="B29" i="6"/>
  <c r="E29" i="6"/>
  <c r="D29" i="6"/>
  <c r="A30" i="6"/>
  <c r="B30" i="6" a="1"/>
  <c r="C30" i="6" a="1"/>
  <c r="D30" i="6" a="1"/>
  <c r="E30" i="6" a="1"/>
  <c r="C30" i="6" l="1"/>
  <c r="B30" i="6"/>
  <c r="E30" i="6"/>
  <c r="D30" i="6"/>
  <c r="A31" i="6"/>
  <c r="B31" i="6" a="1"/>
  <c r="C31" i="6" a="1"/>
  <c r="D31" i="6" a="1"/>
  <c r="E31" i="6" a="1"/>
  <c r="C31" i="6" l="1"/>
  <c r="B31" i="6"/>
  <c r="E31" i="6"/>
  <c r="D31" i="6"/>
  <c r="A32" i="6"/>
  <c r="B32" i="6" a="1"/>
  <c r="C32" i="6" a="1"/>
  <c r="D32" i="6" a="1"/>
  <c r="E32" i="6" a="1"/>
  <c r="C32" i="6" l="1"/>
  <c r="B32" i="6"/>
  <c r="E32" i="6"/>
  <c r="D32" i="6"/>
  <c r="A33" i="6"/>
  <c r="B33" i="6" a="1"/>
  <c r="C33" i="6" a="1"/>
  <c r="D33" i="6" a="1"/>
  <c r="E33" i="6" a="1"/>
  <c r="C33" i="6" l="1"/>
  <c r="B33" i="6"/>
  <c r="E33" i="6"/>
  <c r="D33" i="6"/>
  <c r="A34" i="6"/>
  <c r="B34" i="6" a="1"/>
  <c r="C34" i="6" a="1"/>
  <c r="D34" i="6" a="1"/>
  <c r="E34" i="6" a="1"/>
  <c r="C34" i="6" l="1"/>
  <c r="B34" i="6"/>
  <c r="E34" i="6"/>
  <c r="D34" i="6"/>
  <c r="A35" i="6"/>
  <c r="B35" i="6" a="1"/>
  <c r="C35" i="6" a="1"/>
  <c r="D35" i="6" a="1"/>
  <c r="E35" i="6" a="1"/>
  <c r="C35" i="6" l="1"/>
  <c r="B35" i="6"/>
  <c r="E35" i="6"/>
  <c r="D35" i="6"/>
  <c r="A36" i="6"/>
  <c r="B36" i="6" a="1"/>
  <c r="C36" i="6" a="1"/>
  <c r="D36" i="6" a="1"/>
  <c r="E36" i="6" a="1"/>
  <c r="C36" i="6" l="1"/>
  <c r="B36" i="6"/>
  <c r="E36" i="6"/>
  <c r="D36" i="6"/>
  <c r="A37" i="6"/>
  <c r="B37" i="6" a="1"/>
  <c r="C37" i="6" a="1"/>
  <c r="D37" i="6" a="1"/>
  <c r="E37" i="6" a="1"/>
  <c r="C37" i="6" l="1"/>
  <c r="B37" i="6"/>
  <c r="E37" i="6"/>
  <c r="D37" i="6"/>
  <c r="A38" i="6"/>
  <c r="B38" i="6" a="1"/>
  <c r="C38" i="6" a="1"/>
  <c r="D38" i="6" a="1"/>
  <c r="E38" i="6" a="1"/>
  <c r="C38" i="6" l="1"/>
  <c r="B38" i="6"/>
  <c r="E38" i="6"/>
  <c r="D38" i="6"/>
  <c r="A39" i="6"/>
  <c r="B39" i="6" a="1"/>
  <c r="C39" i="6" a="1"/>
  <c r="D39" i="6" a="1"/>
  <c r="E39" i="6" a="1"/>
  <c r="C39" i="6" l="1"/>
  <c r="B39" i="6"/>
  <c r="E39" i="6"/>
  <c r="D39" i="6"/>
  <c r="A40" i="6"/>
  <c r="B40" i="6" a="1"/>
  <c r="C40" i="6" a="1"/>
  <c r="D40" i="6" a="1"/>
  <c r="E40" i="6" a="1"/>
  <c r="C40" i="6" l="1"/>
  <c r="B40" i="6"/>
  <c r="E40" i="6"/>
  <c r="D40" i="6"/>
  <c r="A41" i="6"/>
  <c r="B41" i="6" a="1"/>
  <c r="C41" i="6" a="1"/>
  <c r="D41" i="6" a="1"/>
  <c r="E41" i="6" a="1"/>
  <c r="C41" i="6" l="1"/>
  <c r="B41" i="6"/>
  <c r="E41" i="6"/>
  <c r="D41" i="6"/>
  <c r="A42" i="6"/>
  <c r="B42" i="6" a="1"/>
  <c r="C42" i="6" a="1"/>
  <c r="D42" i="6" a="1"/>
  <c r="E42" i="6" a="1"/>
  <c r="C42" i="6" l="1"/>
  <c r="B42" i="6"/>
  <c r="E42" i="6"/>
  <c r="D42" i="6"/>
  <c r="A43" i="6"/>
  <c r="B43" i="6" a="1"/>
  <c r="C43" i="6" a="1"/>
  <c r="D43" i="6" a="1"/>
  <c r="E43" i="6" a="1"/>
  <c r="C43" i="6" l="1"/>
  <c r="B43" i="6"/>
  <c r="E43" i="6"/>
  <c r="D43" i="6"/>
  <c r="A44" i="6"/>
  <c r="B44" i="6" a="1"/>
  <c r="C44" i="6" a="1"/>
  <c r="D44" i="6" a="1"/>
  <c r="E44" i="6" a="1"/>
  <c r="C44" i="6" l="1"/>
  <c r="B44" i="6"/>
  <c r="E44" i="6"/>
  <c r="D44" i="6"/>
  <c r="A45" i="6"/>
  <c r="B45" i="6" a="1"/>
  <c r="C45" i="6" a="1"/>
  <c r="D45" i="6" a="1"/>
  <c r="E45" i="6" a="1"/>
  <c r="C45" i="6" l="1"/>
  <c r="B45" i="6"/>
  <c r="E45" i="6"/>
  <c r="D45" i="6"/>
  <c r="A46" i="6"/>
  <c r="B46" i="6" a="1"/>
  <c r="C46" i="6" a="1"/>
  <c r="D46" i="6" a="1"/>
  <c r="E46" i="6" a="1"/>
  <c r="C46" i="6" l="1"/>
  <c r="B46" i="6"/>
  <c r="E46" i="6"/>
  <c r="D46" i="6"/>
  <c r="A47" i="6"/>
  <c r="B47" i="6" a="1"/>
  <c r="C47" i="6" a="1"/>
  <c r="D47" i="6" a="1"/>
  <c r="E47" i="6" a="1"/>
  <c r="C47" i="6" l="1"/>
  <c r="B47" i="6"/>
  <c r="E47" i="6"/>
  <c r="D47" i="6"/>
  <c r="A48" i="6"/>
  <c r="B48" i="6" a="1"/>
  <c r="C48" i="6" a="1"/>
  <c r="D48" i="6" a="1"/>
  <c r="E48" i="6" a="1"/>
  <c r="C48" i="6" l="1"/>
  <c r="B48" i="6"/>
  <c r="E48" i="6"/>
  <c r="D48" i="6"/>
  <c r="A49" i="6"/>
  <c r="B49" i="6" a="1"/>
  <c r="C49" i="6" a="1"/>
  <c r="D49" i="6" a="1"/>
  <c r="E49" i="6" a="1"/>
  <c r="C49" i="6" l="1"/>
  <c r="B49" i="6"/>
  <c r="E49" i="6"/>
  <c r="D49" i="6"/>
  <c r="A50" i="6"/>
  <c r="B50" i="6" a="1"/>
  <c r="C50" i="6" a="1"/>
  <c r="D50" i="6" a="1"/>
  <c r="E50" i="6" a="1"/>
  <c r="C50" i="6" l="1"/>
  <c r="B50" i="6"/>
  <c r="E50" i="6"/>
  <c r="D50" i="6"/>
  <c r="A51" i="6"/>
  <c r="B51" i="6" a="1"/>
  <c r="C51" i="6" a="1"/>
  <c r="D51" i="6" a="1"/>
  <c r="E51" i="6" a="1"/>
  <c r="C51" i="6" l="1"/>
  <c r="B51" i="6"/>
  <c r="E51" i="6"/>
  <c r="D51" i="6"/>
  <c r="A52" i="6"/>
  <c r="B52" i="6" a="1"/>
  <c r="C52" i="6" a="1"/>
  <c r="D52" i="6" a="1"/>
  <c r="E52" i="6" a="1"/>
  <c r="C52" i="6" l="1"/>
  <c r="B52" i="6"/>
  <c r="E52" i="6"/>
  <c r="D52" i="6"/>
  <c r="A53" i="6"/>
  <c r="B53" i="6" a="1"/>
  <c r="C53" i="6" a="1"/>
  <c r="D53" i="6" a="1"/>
  <c r="E53" i="6" a="1"/>
  <c r="C53" i="6" l="1"/>
  <c r="B53" i="6"/>
  <c r="E53" i="6"/>
  <c r="D53" i="6"/>
  <c r="A54" i="6"/>
  <c r="B54" i="6" a="1"/>
  <c r="C54" i="6" a="1"/>
  <c r="D54" i="6" a="1"/>
  <c r="E54" i="6" a="1"/>
  <c r="C54" i="6" l="1"/>
  <c r="B54" i="6"/>
  <c r="E54" i="6"/>
  <c r="D54" i="6"/>
  <c r="A55" i="6"/>
  <c r="B55" i="6" a="1"/>
  <c r="C55" i="6" a="1"/>
  <c r="D55" i="6" a="1"/>
  <c r="E55" i="6" a="1"/>
  <c r="C55" i="6" l="1"/>
  <c r="B55" i="6"/>
  <c r="E55" i="6"/>
  <c r="D55" i="6"/>
  <c r="A56" i="6"/>
  <c r="B56" i="6" a="1"/>
  <c r="C56" i="6" a="1"/>
  <c r="D56" i="6" a="1"/>
  <c r="E56" i="6" a="1"/>
  <c r="C56" i="6" l="1"/>
  <c r="B56" i="6"/>
  <c r="E56" i="6"/>
  <c r="D56" i="6"/>
  <c r="A57" i="6"/>
  <c r="B57" i="6" a="1"/>
  <c r="C57" i="6" a="1"/>
  <c r="D57" i="6" a="1"/>
  <c r="E57" i="6" a="1"/>
  <c r="C57" i="6" l="1"/>
  <c r="B57" i="6"/>
  <c r="E57" i="6"/>
  <c r="D57" i="6"/>
  <c r="A58" i="6"/>
  <c r="B58" i="6" a="1"/>
  <c r="C58" i="6" a="1"/>
  <c r="D58" i="6" a="1"/>
  <c r="E58" i="6" a="1"/>
  <c r="C58" i="6" l="1"/>
  <c r="B58" i="6"/>
  <c r="E58" i="6"/>
  <c r="D58" i="6"/>
  <c r="A59" i="6"/>
  <c r="B59" i="6" a="1"/>
  <c r="C59" i="6" a="1"/>
  <c r="D59" i="6" a="1"/>
  <c r="E59" i="6" a="1"/>
  <c r="C59" i="6" l="1"/>
  <c r="B59" i="6"/>
  <c r="E59" i="6"/>
  <c r="D59" i="6"/>
  <c r="A60" i="6"/>
  <c r="B60" i="6" a="1"/>
  <c r="C60" i="6" a="1"/>
  <c r="D60" i="6" a="1"/>
  <c r="E60" i="6" a="1"/>
  <c r="C60" i="6" l="1"/>
  <c r="B60" i="6"/>
  <c r="E60" i="6"/>
  <c r="D60" i="6"/>
  <c r="A61" i="6"/>
  <c r="B61" i="6" a="1"/>
  <c r="C61" i="6" a="1"/>
  <c r="D61" i="6" a="1"/>
  <c r="E61" i="6" a="1"/>
  <c r="C61" i="6" l="1"/>
  <c r="B61" i="6"/>
  <c r="E61" i="6"/>
  <c r="D61" i="6"/>
  <c r="A62" i="6"/>
  <c r="B62" i="6" a="1"/>
  <c r="C62" i="6" a="1"/>
  <c r="D62" i="6" a="1"/>
  <c r="E62" i="6" a="1"/>
  <c r="C62" i="6" l="1"/>
  <c r="B62" i="6"/>
  <c r="E62" i="6"/>
  <c r="D62" i="6"/>
  <c r="A63" i="6"/>
  <c r="B63" i="6" a="1"/>
  <c r="C63" i="6" a="1"/>
  <c r="D63" i="6" a="1"/>
  <c r="E63" i="6" a="1"/>
  <c r="C63" i="6" l="1"/>
  <c r="B63" i="6"/>
  <c r="E63" i="6"/>
  <c r="D63" i="6"/>
  <c r="A64" i="6"/>
  <c r="B64" i="6" a="1"/>
  <c r="C64" i="6" a="1"/>
  <c r="D64" i="6" a="1"/>
  <c r="E64" i="6" a="1"/>
  <c r="C64" i="6" l="1"/>
  <c r="B64" i="6"/>
  <c r="E64" i="6"/>
  <c r="D64" i="6"/>
  <c r="A65" i="6"/>
  <c r="B65" i="6" a="1"/>
  <c r="C65" i="6" a="1"/>
  <c r="D65" i="6" a="1"/>
  <c r="E65" i="6" a="1"/>
  <c r="C65" i="6" l="1"/>
  <c r="B65" i="6"/>
  <c r="E65" i="6"/>
  <c r="D65" i="6"/>
  <c r="A66" i="6"/>
  <c r="B66" i="6" a="1"/>
  <c r="C66" i="6" a="1"/>
  <c r="D66" i="6" a="1"/>
  <c r="E66" i="6" a="1"/>
  <c r="C66" i="6" l="1"/>
  <c r="B66" i="6"/>
  <c r="E66" i="6"/>
  <c r="D66" i="6"/>
  <c r="A67" i="6"/>
  <c r="B67" i="6" a="1"/>
  <c r="C67" i="6" a="1"/>
  <c r="D67" i="6" a="1"/>
  <c r="E67" i="6" a="1"/>
  <c r="C67" i="6" l="1"/>
  <c r="B67" i="6"/>
  <c r="E67" i="6"/>
  <c r="D67" i="6"/>
  <c r="A68" i="6"/>
  <c r="B68" i="6" a="1"/>
  <c r="C68" i="6" a="1"/>
  <c r="D68" i="6" a="1"/>
  <c r="E68" i="6" a="1"/>
  <c r="C68" i="6" l="1"/>
  <c r="B68" i="6"/>
  <c r="E68" i="6"/>
  <c r="D68" i="6"/>
  <c r="A69" i="6"/>
  <c r="B69" i="6" a="1"/>
  <c r="C69" i="6" a="1"/>
  <c r="D69" i="6" a="1"/>
  <c r="E69" i="6" a="1"/>
  <c r="C69" i="6" l="1"/>
  <c r="B69" i="6"/>
  <c r="E69" i="6"/>
  <c r="D69" i="6"/>
  <c r="A70" i="6"/>
  <c r="B70" i="6" a="1"/>
  <c r="C70" i="6" a="1"/>
  <c r="D70" i="6" a="1"/>
  <c r="E70" i="6" a="1"/>
  <c r="C70" i="6" l="1"/>
  <c r="B70" i="6"/>
  <c r="E70" i="6"/>
  <c r="D70" i="6"/>
  <c r="A71" i="6"/>
  <c r="B71" i="6" a="1"/>
  <c r="C71" i="6" a="1"/>
  <c r="D71" i="6" a="1"/>
  <c r="E71" i="6" a="1"/>
  <c r="C71" i="6" l="1"/>
  <c r="B71" i="6"/>
  <c r="E71" i="6"/>
  <c r="D71" i="6"/>
  <c r="A72" i="6"/>
  <c r="B72" i="6" a="1"/>
  <c r="C72" i="6" a="1"/>
  <c r="D72" i="6" a="1"/>
  <c r="E72" i="6" a="1"/>
  <c r="C72" i="6" l="1"/>
  <c r="B72" i="6"/>
  <c r="E72" i="6"/>
  <c r="D72" i="6"/>
  <c r="A73" i="6"/>
  <c r="B73" i="6" a="1"/>
  <c r="C73" i="6" a="1"/>
  <c r="D73" i="6" a="1"/>
  <c r="E73" i="6" a="1"/>
  <c r="C73" i="6" l="1"/>
  <c r="B73" i="6"/>
  <c r="E73" i="6"/>
  <c r="D73" i="6"/>
  <c r="A74" i="6"/>
  <c r="B74" i="6" a="1"/>
  <c r="C74" i="6" a="1"/>
  <c r="D74" i="6" a="1"/>
  <c r="E74" i="6" a="1"/>
  <c r="C74" i="6" l="1"/>
  <c r="B74" i="6"/>
  <c r="E74" i="6"/>
  <c r="D74" i="6"/>
  <c r="A75" i="6"/>
  <c r="B75" i="6" a="1"/>
  <c r="C75" i="6" a="1"/>
  <c r="D75" i="6" a="1"/>
  <c r="E75" i="6" a="1"/>
  <c r="C75" i="6" l="1"/>
  <c r="B75" i="6"/>
  <c r="E75" i="6"/>
  <c r="D75" i="6"/>
  <c r="A76" i="6"/>
  <c r="B76" i="6" a="1"/>
  <c r="C76" i="6" a="1"/>
  <c r="D76" i="6" a="1"/>
  <c r="E76" i="6" a="1"/>
  <c r="C76" i="6" l="1"/>
  <c r="B76" i="6"/>
  <c r="E76" i="6"/>
  <c r="D76" i="6"/>
  <c r="A77" i="6"/>
  <c r="B77" i="6" a="1"/>
  <c r="C77" i="6" a="1"/>
  <c r="D77" i="6" a="1"/>
  <c r="E77" i="6" a="1"/>
  <c r="C77" i="6" l="1"/>
  <c r="B77" i="6"/>
  <c r="E77" i="6"/>
  <c r="D77" i="6"/>
  <c r="A78" i="6"/>
  <c r="B78" i="6" a="1"/>
  <c r="C78" i="6" a="1"/>
  <c r="D78" i="6" a="1"/>
  <c r="E78" i="6" a="1"/>
  <c r="C78" i="6" l="1"/>
  <c r="B78" i="6"/>
  <c r="E78" i="6"/>
  <c r="D78" i="6"/>
  <c r="A79" i="6"/>
  <c r="B79" i="6" a="1"/>
  <c r="C79" i="6" a="1"/>
  <c r="D79" i="6" a="1"/>
  <c r="E79" i="6" a="1"/>
  <c r="C79" i="6" l="1"/>
  <c r="B79" i="6"/>
  <c r="E79" i="6"/>
  <c r="D79" i="6"/>
  <c r="A80" i="6"/>
  <c r="B80" i="6" a="1"/>
  <c r="C80" i="6" a="1"/>
  <c r="D80" i="6" a="1"/>
  <c r="E80" i="6" a="1"/>
  <c r="C80" i="6" l="1"/>
  <c r="B80" i="6"/>
  <c r="E80" i="6"/>
  <c r="D80" i="6"/>
  <c r="A81" i="6"/>
  <c r="B81" i="6" a="1"/>
  <c r="C81" i="6" a="1"/>
  <c r="D81" i="6" a="1"/>
  <c r="E81" i="6" a="1"/>
  <c r="C81" i="6" l="1"/>
  <c r="B81" i="6"/>
  <c r="E81" i="6"/>
  <c r="D81" i="6"/>
  <c r="A82" i="6"/>
  <c r="B82" i="6" a="1"/>
  <c r="C82" i="6" a="1"/>
  <c r="D82" i="6" a="1"/>
  <c r="E82" i="6" a="1"/>
  <c r="C82" i="6" l="1"/>
  <c r="B82" i="6"/>
  <c r="E82" i="6"/>
  <c r="D82" i="6"/>
  <c r="A83" i="6"/>
  <c r="B83" i="6" a="1"/>
  <c r="C83" i="6" a="1"/>
  <c r="D83" i="6" a="1"/>
  <c r="E83" i="6" a="1"/>
  <c r="C83" i="6" l="1"/>
  <c r="B83" i="6"/>
  <c r="E83" i="6"/>
  <c r="D83" i="6"/>
  <c r="A84" i="6"/>
  <c r="B84" i="6" a="1"/>
  <c r="C84" i="6" a="1"/>
  <c r="D84" i="6" a="1"/>
  <c r="E84" i="6" a="1"/>
  <c r="C84" i="6" l="1"/>
  <c r="B84" i="6"/>
  <c r="E84" i="6"/>
  <c r="D84" i="6"/>
  <c r="A85" i="6"/>
  <c r="B85" i="6" a="1"/>
  <c r="C85" i="6" a="1"/>
  <c r="D85" i="6" a="1"/>
  <c r="E85" i="6" a="1"/>
  <c r="C85" i="6" l="1"/>
  <c r="B85" i="6"/>
  <c r="E85" i="6"/>
  <c r="D85" i="6"/>
  <c r="A86" i="6"/>
  <c r="B86" i="6" a="1"/>
  <c r="C86" i="6" a="1"/>
  <c r="D86" i="6" a="1"/>
  <c r="E86" i="6" a="1"/>
  <c r="C86" i="6" l="1"/>
  <c r="B86" i="6"/>
  <c r="E86" i="6"/>
  <c r="D86" i="6"/>
  <c r="A87" i="6"/>
  <c r="B87" i="6" a="1"/>
  <c r="C87" i="6" a="1"/>
  <c r="D87" i="6" a="1"/>
  <c r="E87" i="6" a="1"/>
  <c r="C87" i="6" l="1"/>
  <c r="B87" i="6"/>
  <c r="E87" i="6"/>
  <c r="D87" i="6"/>
  <c r="A88" i="6"/>
  <c r="B88" i="6" a="1"/>
  <c r="C88" i="6" a="1"/>
  <c r="D88" i="6" a="1"/>
  <c r="E88" i="6" a="1"/>
  <c r="C88" i="6" l="1"/>
  <c r="B88" i="6"/>
  <c r="E88" i="6"/>
  <c r="D88" i="6"/>
  <c r="A89" i="6"/>
  <c r="B89" i="6" a="1"/>
  <c r="C89" i="6" a="1"/>
  <c r="D89" i="6" a="1"/>
  <c r="E89" i="6" a="1"/>
  <c r="C89" i="6" l="1"/>
  <c r="B89" i="6"/>
  <c r="E89" i="6"/>
  <c r="D89" i="6"/>
  <c r="A90" i="6"/>
  <c r="B90" i="6" a="1"/>
  <c r="C90" i="6" a="1"/>
  <c r="D90" i="6" a="1"/>
  <c r="E90" i="6" a="1"/>
  <c r="C90" i="6" l="1"/>
  <c r="B90" i="6"/>
  <c r="E90" i="6"/>
  <c r="D90" i="6"/>
  <c r="A91" i="6"/>
  <c r="B91" i="6" a="1"/>
  <c r="C91" i="6" a="1"/>
  <c r="D91" i="6" a="1"/>
  <c r="E91" i="6" a="1"/>
  <c r="C91" i="6" l="1"/>
  <c r="B91" i="6"/>
  <c r="E91" i="6"/>
  <c r="D91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28ED193-A2F3-480E-80ED-D0CD3D9E9980}" keepAlive="1" name="Consulta - Dados" description="Conexão com a consulta 'Dados' na pasta de trabalho." type="5" refreshedVersion="6" background="1">
    <dbPr connection="Provider=Microsoft.Mashup.OleDb.1;Data Source=$Workbook$;Location=Dados;Extended Properties=&quot;&quot;" command="SELECT * FROM [Dado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<sst xmlns="http://schemas.openxmlformats.org/spreadsheetml/2006/main" count="21" uniqueCount="21">
  <si>
    <t>Entrada de Dados</t>
  </si>
  <si>
    <t>Cal</t>
  </si>
  <si>
    <t>V0(m/s)</t>
  </si>
  <si>
    <t>Vx0</t>
  </si>
  <si>
    <t>Theta(°)</t>
  </si>
  <si>
    <t>Vy0</t>
  </si>
  <si>
    <r>
      <t>g(m/s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)</t>
    </r>
  </si>
  <si>
    <t>coef Arrasto</t>
  </si>
  <si>
    <t>dt(s)</t>
  </si>
  <si>
    <t>Com resitência do Ar</t>
  </si>
  <si>
    <t>Sem Resistência</t>
  </si>
  <si>
    <t>tempo(s)</t>
  </si>
  <si>
    <t>x_cr(m)</t>
  </si>
  <si>
    <t>y_cr(m)</t>
  </si>
  <si>
    <t>x_sr(m)</t>
  </si>
  <si>
    <t>y_sr(m)</t>
  </si>
  <si>
    <t>-10</t>
  </si>
  <si>
    <t>0.04</t>
  </si>
  <si>
    <t>1</t>
  </si>
  <si>
    <t>20</t>
  </si>
  <si>
    <t>60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</si>
</sst>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0.000000E+00"/>
  </numFmts>
  <fonts count="3" x14ac:knownFonts="1">
    <font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1"/>
      <color theme="1"/>
      <name val="times"/>
    </font>
  </fonts>
  <fills count="1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</fills>
  <borders count="8">
    <border>
      <left/>
      <right/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4" borderId="1" xfId="0" applyFill="1" applyBorder="1"/>
    <xf numFmtId="0" fontId="0" fillId="4" borderId="2" xfId="0" applyFill="1" applyBorder="1"/>
    <xf numFmtId="0" fontId="0" fillId="4" borderId="4" xfId="0" applyFill="1" applyBorder="1"/>
    <xf numFmtId="0" fontId="0" fillId="5" borderId="0" xfId="0" applyFill="1" applyBorder="1"/>
    <xf numFmtId="0" fontId="0" fillId="7" borderId="0" xfId="0" applyFill="1"/>
    <xf numFmtId="0" fontId="0" fillId="9" borderId="0" xfId="0" applyFill="1"/>
    <xf numFmtId="0" fontId="0" fillId="5" borderId="2" xfId="0" applyFill="1" applyBorder="1"/>
    <xf numFmtId="0" fontId="0" fillId="6" borderId="3" xfId="0" applyFill="1" applyBorder="1"/>
    <xf numFmtId="0" fontId="0" fillId="5" borderId="4" xfId="0" applyFill="1" applyBorder="1"/>
    <xf numFmtId="0" fontId="0" fillId="6" borderId="5" xfId="0" applyFill="1" applyBorder="1"/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11" borderId="6" xfId="0" applyFill="1" applyBorder="1" applyAlignment="1">
      <alignment horizontal="center"/>
    </xf>
    <xf numFmtId="0" fontId="0" fillId="11" borderId="7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3" borderId="0" xfId="0" applyFill="1" applyAlignment="1">
      <alignment horizontal="center"/>
    </xf>
    <xf numFmtId="165" fontId="0" fillId="6" borderId="0" xfId="0" applyNumberFormat="1" applyFill="1"/>
    <xf numFmtId="165" fontId="0" fillId="8" borderId="0" xfId="0" applyNumberFormat="1" applyFill="1"/>
    <xf numFmtId="165" fontId="0" fillId="10" borderId="0" xfId="0" applyNumberFormat="1" applyFill="1"/>
    <xf numFmtId="165" fontId="0" fillId="6" borderId="0" xfId="0" applyNumberFormat="1" applyFill="1" applyBorder="1"/>
    <xf numFmtId="2" fontId="0" fillId="3" borderId="3" xfId="0" applyNumberFormat="1" applyFill="1" applyBorder="1" applyAlignment="1">
      <alignment horizontal="center"/>
    </xf>
    <xf numFmtId="2" fontId="0" fillId="3" borderId="5" xfId="0" applyNumberFormat="1" applyFill="1" applyBorder="1" applyAlignment="1">
      <alignment horizontal="center"/>
    </xf>
  </cellXfs>
  <cellStyles count="1">
    <cellStyle name="Normal" xfId="0" builtinId="0"/>
  </cellStyles>
  <dxfs count="6">
    <dxf>
      <numFmt numFmtId="165" formatCode="0.000000E+00"/>
      <fill>
        <patternFill patternType="solid">
          <fgColor indexed="64"/>
          <bgColor theme="9" tint="0.79998168889431442"/>
        </patternFill>
      </fill>
    </dxf>
    <dxf>
      <numFmt numFmtId="165" formatCode="0.000000E+00"/>
      <fill>
        <patternFill patternType="solid">
          <fgColor indexed="64"/>
          <bgColor theme="7" tint="0.79998168889431442"/>
        </patternFill>
      </fill>
    </dxf>
    <dxf>
      <numFmt numFmtId="165" formatCode="0.000000E+00"/>
      <fill>
        <patternFill patternType="solid">
          <fgColor indexed="64"/>
          <bgColor theme="7" tint="0.79998168889431442"/>
        </patternFill>
      </fill>
    </dxf>
    <dxf>
      <numFmt numFmtId="165" formatCode="0.000000E+00"/>
      <fill>
        <patternFill patternType="solid">
          <fgColor indexed="64"/>
          <bgColor theme="9" tint="0.79998168889431442"/>
        </patternFill>
      </fill>
    </dxf>
    <dxf>
      <numFmt numFmtId="165" formatCode="0.000000E+00"/>
    </dxf>
    <dxf>
      <numFmt numFmtId="165" formatCode="0.000000E+00"/>
      <fill>
        <patternFill patternType="solid">
          <fgColor indexed="64"/>
          <bgColor theme="6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2800" b="1"/>
              <a:t>Trajetória</a:t>
            </a:r>
          </a:p>
        </c:rich>
      </c:tx>
      <c:layout>
        <c:manualLayout>
          <c:xMode val="edge"/>
          <c:yMode val="edge"/>
          <c:x val="0.39315331664423592"/>
          <c:y val="2.75357385552459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3178937007874017"/>
          <c:y val="0.17171296296296296"/>
          <c:w val="0.82939129483814522"/>
          <c:h val="0.70662766112569253"/>
        </c:manualLayout>
      </c:layout>
      <c:scatterChart>
        <c:scatterStyle val="lineMarker"/>
        <c:varyColors val="0"/>
        <c:ser>
          <c:idx val="0"/>
          <c:order val="0"/>
          <c:tx>
            <c:strRef>
              <c:f>Calculos!$B$1</c:f>
              <c:strCache>
                <c:ptCount val="1"/>
                <c:pt idx="0">
                  <c:v>Com resitência do Ar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Calculos!$B$3:$B$91</c:f>
              <c:numCache>
                <c:formatCode>0.000000E+00</c:formatCode>
                <c:ptCount val="89"/>
                <c:pt idx="0">
                  <c:v>0</c:v>
                </c:pt>
                <c:pt idx="1">
                  <c:v>0.39210560847676829</c:v>
                </c:pt>
                <c:pt idx="2">
                  <c:v>0.76883653613364256</c:v>
                </c:pt>
                <c:pt idx="3">
                  <c:v>1.1307956328284254</c:v>
                </c:pt>
                <c:pt idx="4">
                  <c:v>1.4785621103378868</c:v>
                </c:pt>
                <c:pt idx="5">
                  <c:v>1.812692469220182</c:v>
                </c:pt>
                <c:pt idx="6">
                  <c:v>2.1337213893344669</c:v>
                </c:pt>
                <c:pt idx="7">
                  <c:v>2.4421625854427456</c:v>
                </c:pt>
                <c:pt idx="8">
                  <c:v>2.738509629263091</c:v>
                </c:pt>
                <c:pt idx="9">
                  <c:v>3.0232367392896902</c:v>
                </c:pt>
                <c:pt idx="10">
                  <c:v>3.2967995396436072</c:v>
                </c:pt>
                <c:pt idx="11">
                  <c:v>3.5596357891685866</c:v>
                </c:pt>
                <c:pt idx="12">
                  <c:v>3.8121660819385914</c:v>
                </c:pt>
                <c:pt idx="13">
                  <c:v>4.0547945202980573</c:v>
                </c:pt>
                <c:pt idx="14">
                  <c:v>4.2879093615118524</c:v>
                </c:pt>
                <c:pt idx="15">
                  <c:v>4.5118836390597359</c:v>
                </c:pt>
                <c:pt idx="16">
                  <c:v>4.727075759569515</c:v>
                </c:pt>
                <c:pt idx="17">
                  <c:v>4.9338300763441056</c:v>
                </c:pt>
                <c:pt idx="18">
                  <c:v>5.1324774404002849</c:v>
                </c:pt>
                <c:pt idx="19">
                  <c:v>5.3233357299009088</c:v>
                </c:pt>
                <c:pt idx="20">
                  <c:v>5.5067103588277861</c:v>
                </c:pt>
                <c:pt idx="21">
                  <c:v>5.6828947657092046</c:v>
                </c:pt>
                <c:pt idx="22">
                  <c:v>5.8521708831841881</c:v>
                </c:pt>
                <c:pt idx="23">
                  <c:v>6.0148095891548605</c:v>
                </c:pt>
                <c:pt idx="24">
                  <c:v>6.1710711402488823</c:v>
                </c:pt>
                <c:pt idx="25">
                  <c:v>6.3212055882855793</c:v>
                </c:pt>
                <c:pt idx="26">
                  <c:v>6.4654531804122009</c:v>
                </c:pt>
                <c:pt idx="27">
                  <c:v>6.6040447435506104</c:v>
                </c:pt>
                <c:pt idx="28">
                  <c:v>6.7372020537696073</c:v>
                </c:pt>
                <c:pt idx="29">
                  <c:v>6.8651381911739486</c:v>
                </c:pt>
                <c:pt idx="30">
                  <c:v>6.9880578808779816</c:v>
                </c:pt>
                <c:pt idx="31">
                  <c:v>7.1061578206094964</c:v>
                </c:pt>
                <c:pt idx="32">
                  <c:v>7.2196269954680607</c:v>
                </c:pt>
                <c:pt idx="33">
                  <c:v>7.3286469803414986</c:v>
                </c:pt>
                <c:pt idx="34">
                  <c:v>7.4333922304644444</c:v>
                </c:pt>
                <c:pt idx="35">
                  <c:v>7.5340303605839383</c:v>
                </c:pt>
                <c:pt idx="36">
                  <c:v>7.630722413178785</c:v>
                </c:pt>
                <c:pt idx="37">
                  <c:v>7.7236231161618756</c:v>
                </c:pt>
                <c:pt idx="38">
                  <c:v>7.8128811304778552</c:v>
                </c:pt>
                <c:pt idx="39">
                  <c:v>7.8986392879923555</c:v>
                </c:pt>
                <c:pt idx="40">
                  <c:v>7.9810348200534493</c:v>
                </c:pt>
                <c:pt idx="41">
                  <c:v>8.0601995770910833</c:v>
                </c:pt>
                <c:pt idx="42">
                  <c:v>8.1362602396059032</c:v>
                </c:pt>
                <c:pt idx="43">
                  <c:v>8.2093385208850709</c:v>
                </c:pt>
                <c:pt idx="44">
                  <c:v>8.2795513617694976</c:v>
                </c:pt>
                <c:pt idx="45">
                  <c:v>8.3470111177841382</c:v>
                </c:pt>
                <c:pt idx="46">
                  <c:v>8.411825738930796</c:v>
                </c:pt>
                <c:pt idx="47">
                  <c:v>8.4740989424311639</c:v>
                </c:pt>
                <c:pt idx="48">
                  <c:v>8.5339303786965015</c:v>
                </c:pt>
                <c:pt idx="49">
                  <c:v>8.5914157907895525</c:v>
                </c:pt>
                <c:pt idx="50">
                  <c:v>8.6466471676338763</c:v>
                </c:pt>
                <c:pt idx="51">
                  <c:v>8.6997128912157429</c:v>
                </c:pt>
                <c:pt idx="52">
                  <c:v>8.7506978780141793</c:v>
                </c:pt>
                <c:pt idx="53">
                  <c:v>8.7996837148854361</c:v>
                </c:pt>
                <c:pt idx="54">
                  <c:v>8.8467487896193777</c:v>
                </c:pt>
                <c:pt idx="55">
                  <c:v>8.8919684163766632</c:v>
                </c:pt>
                <c:pt idx="56">
                  <c:v>8.9354149562074738</c:v>
                </c:pt>
                <c:pt idx="57">
                  <c:v>8.9771579328446283</c:v>
                </c:pt>
                <c:pt idx="58">
                  <c:v>9.0172641439563872</c:v>
                </c:pt>
                <c:pt idx="59">
                  <c:v>9.0557977680369799</c:v>
                </c:pt>
                <c:pt idx="60">
                  <c:v>9.0928204671058772</c:v>
                </c:pt>
                <c:pt idx="61">
                  <c:v>9.12839148538019</c:v>
                </c:pt>
                <c:pt idx="62">
                  <c:v>9.1625677440780429</c:v>
                </c:pt>
                <c:pt idx="63">
                  <c:v>9.1954039325046786</c:v>
                </c:pt>
                <c:pt idx="64">
                  <c:v>9.2269525955670044</c:v>
                </c:pt>
                <c:pt idx="65">
                  <c:v>9.2572642178566635</c:v>
                </c:pt>
                <c:pt idx="66">
                  <c:v>9.2863873044361416</c:v>
                </c:pt>
                <c:pt idx="67">
                  <c:v>9.3143684584572242</c:v>
                </c:pt>
                <c:pt idx="68">
                  <c:v>9.3412524557359724</c:v>
                </c:pt>
                <c:pt idx="69">
                  <c:v>9.3670823164035948</c:v>
                </c:pt>
                <c:pt idx="70">
                  <c:v>9.3918993737478225</c:v>
                </c:pt>
                <c:pt idx="71">
                  <c:v>9.4157433403549948</c:v>
                </c:pt>
                <c:pt idx="72">
                  <c:v>9.4386523716586659</c:v>
                </c:pt>
                <c:pt idx="73">
                  <c:v>9.4606631269964421</c:v>
                </c:pt>
                <c:pt idx="74">
                  <c:v>9.481810828272744</c:v>
                </c:pt>
                <c:pt idx="75">
                  <c:v>9.5021293163213638</c:v>
                </c:pt>
                <c:pt idx="76">
                  <c:v>9.5216511050580195</c:v>
                </c:pt>
                <c:pt idx="77">
                  <c:v>9.5404074335095608</c:v>
                </c:pt>
                <c:pt idx="78">
                  <c:v>9.5584283158030736</c:v>
                </c:pt>
                <c:pt idx="79">
                  <c:v>9.5757425891948884</c:v>
                </c:pt>
                <c:pt idx="80">
                  <c:v>9.592377960216341</c:v>
                </c:pt>
                <c:pt idx="81">
                  <c:v>9.6083610490101314</c:v>
                </c:pt>
                <c:pt idx="82">
                  <c:v>9.6237174319282399</c:v>
                </c:pt>
                <c:pt idx="83">
                  <c:v>9.6384716824595387</c:v>
                </c:pt>
                <c:pt idx="84">
                  <c:v>9.6526474105526177</c:v>
                </c:pt>
                <c:pt idx="85">
                  <c:v>9.6662673003967416</c:v>
                </c:pt>
                <c:pt idx="86">
                  <c:v>9.6793531467213949</c:v>
                </c:pt>
                <c:pt idx="87">
                  <c:v>9.6919258896724916</c:v>
                </c:pt>
                <c:pt idx="88">
                  <c:v>9.7040056483210826</c:v>
                </c:pt>
              </c:numCache>
            </c:numRef>
          </c:xVal>
          <c:yVal>
            <c:numRef>
              <c:f>Calculos!$C$3:$C$91</c:f>
              <c:numCache>
                <c:formatCode>0.000000E+00</c:formatCode>
                <c:ptCount val="89"/>
                <c:pt idx="0">
                  <c:v>0</c:v>
                </c:pt>
                <c:pt idx="1">
                  <c:v>0.67125244429124054</c:v>
                </c:pt>
                <c:pt idx="2">
                  <c:v>1.3005004794323758</c:v>
                </c:pt>
                <c:pt idx="3">
                  <c:v>1.8893911218642587</c:v>
                </c:pt>
                <c:pt idx="4">
                  <c:v>2.4395068075893662</c:v>
                </c:pt>
                <c:pt idx="5">
                  <c:v>2.95236792440702</c:v>
                </c:pt>
                <c:pt idx="6">
                  <c:v>3.4294352448582153</c:v>
                </c:pt>
                <c:pt idx="7">
                  <c:v>3.8721122637733489</c:v>
                </c:pt>
                <c:pt idx="8">
                  <c:v>4.2817474441633729</c:v>
                </c:pt>
                <c:pt idx="9">
                  <c:v>4.6596363750482954</c:v>
                </c:pt>
                <c:pt idx="10">
                  <c:v>5.0070238446760182</c:v>
                </c:pt>
                <c:pt idx="11">
                  <c:v>5.3251058324491121</c:v>
                </c:pt>
                <c:pt idx="12">
                  <c:v>5.6150314227470091</c:v>
                </c:pt>
                <c:pt idx="13">
                  <c:v>5.8779046437061631</c:v>
                </c:pt>
                <c:pt idx="14">
                  <c:v>6.1147862339006025</c:v>
                </c:pt>
                <c:pt idx="15">
                  <c:v>6.3266953397499535</c:v>
                </c:pt>
                <c:pt idx="16">
                  <c:v>6.5146111463711556</c:v>
                </c:pt>
                <c:pt idx="17">
                  <c:v>6.6794744444835246</c:v>
                </c:pt>
                <c:pt idx="18">
                  <c:v>6.8221891358746376</c:v>
                </c:pt>
                <c:pt idx="19">
                  <c:v>6.9436236798360333</c:v>
                </c:pt>
                <c:pt idx="20">
                  <c:v>7.0446124828833483</c:v>
                </c:pt>
                <c:pt idx="21">
                  <c:v>7.1259572339847708</c:v>
                </c:pt>
                <c:pt idx="22">
                  <c:v>7.1884281874344236</c:v>
                </c:pt>
                <c:pt idx="23">
                  <c:v>7.2327653954235558</c:v>
                </c:pt>
                <c:pt idx="24">
                  <c:v>7.2596798922819428</c:v>
                </c:pt>
                <c:pt idx="25">
                  <c:v>7.2698548322845102</c:v>
                </c:pt>
                <c:pt idx="26">
                  <c:v>7.2639465828439107</c:v>
                </c:pt>
                <c:pt idx="27">
                  <c:v>7.2425857748384406</c:v>
                </c:pt>
                <c:pt idx="28">
                  <c:v>7.2063783117559481</c:v>
                </c:pt>
                <c:pt idx="29">
                  <c:v>7.1559063392687197</c:v>
                </c:pt>
                <c:pt idx="30">
                  <c:v>7.0917291767907393</c:v>
                </c:pt>
                <c:pt idx="31">
                  <c:v>7.0143842125080607</c:v>
                </c:pt>
                <c:pt idx="32">
                  <c:v>6.9243877633145772</c:v>
                </c:pt>
                <c:pt idx="33">
                  <c:v>6.8222359010291971</c:v>
                </c:pt>
                <c:pt idx="34">
                  <c:v>6.7084052462165928</c:v>
                </c:pt>
                <c:pt idx="35">
                  <c:v>6.5833537308817771</c:v>
                </c:pt>
                <c:pt idx="36">
                  <c:v>6.4475213312590185</c:v>
                </c:pt>
                <c:pt idx="37">
                  <c:v>6.3013307718676881</c:v>
                </c:pt>
                <c:pt idx="38">
                  <c:v>6.1451882019616555</c:v>
                </c:pt>
                <c:pt idx="39">
                  <c:v>5.9794838454547641</c:v>
                </c:pt>
                <c:pt idx="40">
                  <c:v>5.8045926253623428</c:v>
                </c:pt>
                <c:pt idx="41">
                  <c:v>5.6208747637580068</c:v>
                </c:pt>
                <c:pt idx="42">
                  <c:v>5.4286763582058413</c:v>
                </c:pt>
                <c:pt idx="43">
                  <c:v>5.2283299355903345</c:v>
                </c:pt>
                <c:pt idx="44">
                  <c:v>5.0201549842303379</c:v>
                </c:pt>
                <c:pt idx="45">
                  <c:v>4.8044584651285334</c:v>
                </c:pt>
                <c:pt idx="46">
                  <c:v>4.5815353031745367</c:v>
                </c:pt>
                <c:pt idx="47">
                  <c:v>4.3516688590876136</c:v>
                </c:pt>
                <c:pt idx="48">
                  <c:v>4.1151313828543366</c:v>
                </c:pt>
                <c:pt idx="49">
                  <c:v>3.8721844493865838</c:v>
                </c:pt>
                <c:pt idx="50">
                  <c:v>3.6230793770972625</c:v>
                </c:pt>
                <c:pt idx="51">
                  <c:v>3.3680576300633298</c:v>
                </c:pt>
                <c:pt idx="52">
                  <c:v>3.1073512044198814</c:v>
                </c:pt>
                <c:pt idx="53">
                  <c:v>2.8411829996034363</c:v>
                </c:pt>
                <c:pt idx="54">
                  <c:v>2.5697671750385958</c:v>
                </c:pt>
                <c:pt idx="55">
                  <c:v>2.293309492838798</c:v>
                </c:pt>
                <c:pt idx="56">
                  <c:v>2.012007647069634</c:v>
                </c:pt>
                <c:pt idx="57">
                  <c:v>1.7260515801015011</c:v>
                </c:pt>
                <c:pt idx="58">
                  <c:v>1.4356237865579153</c:v>
                </c:pt>
                <c:pt idx="59">
                  <c:v>1.1408996053458473</c:v>
                </c:pt>
                <c:pt idx="60">
                  <c:v>0.84204750023540953</c:v>
                </c:pt>
                <c:pt idx="61">
                  <c:v>0.53922932943779145</c:v>
                </c:pt>
                <c:pt idx="62">
                  <c:v>0.23260060461294785</c:v>
                </c:pt>
                <c:pt idx="63">
                  <c:v>-7.768926027858214E-2</c:v>
                </c:pt>
                <c:pt idx="64">
                  <c:v>-0.39149670988143725</c:v>
                </c:pt>
                <c:pt idx="65">
                  <c:v>-0.70868381772625</c:v>
                </c:pt>
                <c:pt idx="66">
                  <c:v>-1.0291180655178884</c:v>
                </c:pt>
                <c:pt idx="67">
                  <c:v>-1.3526721310778846</c:v>
                </c:pt>
                <c:pt idx="68">
                  <c:v>-1.6792236846018014</c:v>
                </c:pt>
                <c:pt idx="69">
                  <c:v>-2.0086551929054259</c:v>
                </c:pt>
                <c:pt idx="70">
                  <c:v>-2.3408537313466482</c:v>
                </c:pt>
                <c:pt idx="71">
                  <c:v>-2.6757108031218806</c:v>
                </c:pt>
                <c:pt idx="72">
                  <c:v>-3.0131221656480704</c:v>
                </c:pt>
                <c:pt idx="73">
                  <c:v>-3.3529876637522946</c:v>
                </c:pt>
                <c:pt idx="74">
                  <c:v>-3.6952110694021449</c:v>
                </c:pt>
                <c:pt idx="75">
                  <c:v>-4.0396999277203385</c:v>
                </c:pt>
                <c:pt idx="76">
                  <c:v>-4.3863654090371718</c:v>
                </c:pt>
                <c:pt idx="77">
                  <c:v>-4.7351221667441088</c:v>
                </c:pt>
                <c:pt idx="78">
                  <c:v>-5.085888200721012</c:v>
                </c:pt>
                <c:pt idx="79">
                  <c:v>-5.4385847261184388</c:v>
                </c:pt>
                <c:pt idx="80">
                  <c:v>-5.7931360472850777</c:v>
                </c:pt>
                <c:pt idx="81">
                  <c:v>-6.1494694366385509</c:v>
                </c:pt>
                <c:pt idx="82">
                  <c:v>-6.5075150182857939</c:v>
                </c:pt>
                <c:pt idx="83">
                  <c:v>-6.8672056562066892</c:v>
                </c:pt>
                <c:pt idx="84">
                  <c:v>-7.2284768468221188</c:v>
                </c:pt>
                <c:pt idx="85">
                  <c:v>-7.5912666157744759</c:v>
                </c:pt>
                <c:pt idx="86">
                  <c:v>-7.9555154187554855</c:v>
                </c:pt>
                <c:pt idx="87">
                  <c:v>-8.32116604622259</c:v>
                </c:pt>
                <c:pt idx="88">
                  <c:v>-8.6881635318514725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FC-420E-95AD-038EDB5E934E}"/>
            </c:ext>
          </c:extLst>
        </c:ser>
        <c:ser>
          <c:idx val="1"/>
          <c:order val="1"/>
          <c:tx>
            <c:strRef>
              <c:f>Calculos!$D$1</c:f>
              <c:strCache>
                <c:ptCount val="1"/>
                <c:pt idx="0">
                  <c:v>Sem Resistência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Calculos!$D$3:$D$91</c:f>
              <c:numCache>
                <c:formatCode>0.000000E+00</c:formatCode>
                <c:ptCount val="89"/>
                <c:pt idx="0">
                  <c:v>0</c:v>
                </c:pt>
                <c:pt idx="1">
                  <c:v>0.40000000000000008</c:v>
                </c:pt>
                <c:pt idx="2">
                  <c:v>0.80000000000000016</c:v>
                </c:pt>
                <c:pt idx="3">
                  <c:v>1.2000000000000002</c:v>
                </c:pt>
                <c:pt idx="4">
                  <c:v>1.6000000000000003</c:v>
                </c:pt>
                <c:pt idx="5">
                  <c:v>2.0000000000000004</c:v>
                </c:pt>
                <c:pt idx="6">
                  <c:v>2.4000000000000008</c:v>
                </c:pt>
                <c:pt idx="7">
                  <c:v>2.8000000000000007</c:v>
                </c:pt>
                <c:pt idx="8">
                  <c:v>3.2000000000000006</c:v>
                </c:pt>
                <c:pt idx="9">
                  <c:v>3.6000000000000005</c:v>
                </c:pt>
                <c:pt idx="10">
                  <c:v>4</c:v>
                </c:pt>
                <c:pt idx="11">
                  <c:v>4.4000000000000004</c:v>
                </c:pt>
                <c:pt idx="12">
                  <c:v>4.8</c:v>
                </c:pt>
                <c:pt idx="13">
                  <c:v>5.2</c:v>
                </c:pt>
                <c:pt idx="14">
                  <c:v>5.6000000000000005</c:v>
                </c:pt>
                <c:pt idx="15">
                  <c:v>6.0000000000000009</c:v>
                </c:pt>
                <c:pt idx="16">
                  <c:v>6.4000000000000012</c:v>
                </c:pt>
                <c:pt idx="17">
                  <c:v>6.8000000000000016</c:v>
                </c:pt>
                <c:pt idx="18">
                  <c:v>7.200000000000002</c:v>
                </c:pt>
                <c:pt idx="19">
                  <c:v>7.6000000000000023</c:v>
                </c:pt>
                <c:pt idx="20">
                  <c:v>8.0000000000000036</c:v>
                </c:pt>
                <c:pt idx="21">
                  <c:v>8.4000000000000039</c:v>
                </c:pt>
                <c:pt idx="22">
                  <c:v>8.8000000000000043</c:v>
                </c:pt>
                <c:pt idx="23">
                  <c:v>9.2000000000000046</c:v>
                </c:pt>
                <c:pt idx="24">
                  <c:v>9.600000000000005</c:v>
                </c:pt>
                <c:pt idx="25">
                  <c:v>10.000000000000004</c:v>
                </c:pt>
                <c:pt idx="26">
                  <c:v>10.400000000000004</c:v>
                </c:pt>
                <c:pt idx="27">
                  <c:v>10.800000000000004</c:v>
                </c:pt>
                <c:pt idx="28">
                  <c:v>11.200000000000005</c:v>
                </c:pt>
                <c:pt idx="29">
                  <c:v>11.600000000000005</c:v>
                </c:pt>
                <c:pt idx="30">
                  <c:v>12.000000000000005</c:v>
                </c:pt>
                <c:pt idx="31">
                  <c:v>12.400000000000006</c:v>
                </c:pt>
                <c:pt idx="32">
                  <c:v>12.800000000000008</c:v>
                </c:pt>
                <c:pt idx="33">
                  <c:v>13.200000000000008</c:v>
                </c:pt>
                <c:pt idx="34">
                  <c:v>13.600000000000009</c:v>
                </c:pt>
                <c:pt idx="35">
                  <c:v>14.000000000000009</c:v>
                </c:pt>
                <c:pt idx="36">
                  <c:v>14.400000000000009</c:v>
                </c:pt>
                <c:pt idx="37">
                  <c:v>14.80000000000001</c:v>
                </c:pt>
                <c:pt idx="38">
                  <c:v>15.20000000000001</c:v>
                </c:pt>
                <c:pt idx="39">
                  <c:v>15.60000000000001</c:v>
                </c:pt>
                <c:pt idx="40">
                  <c:v>16.000000000000011</c:v>
                </c:pt>
                <c:pt idx="41">
                  <c:v>16.400000000000009</c:v>
                </c:pt>
                <c:pt idx="42">
                  <c:v>16.800000000000011</c:v>
                </c:pt>
                <c:pt idx="43">
                  <c:v>17.20000000000001</c:v>
                </c:pt>
                <c:pt idx="44">
                  <c:v>17.600000000000012</c:v>
                </c:pt>
                <c:pt idx="45">
                  <c:v>18.000000000000014</c:v>
                </c:pt>
                <c:pt idx="46">
                  <c:v>18.400000000000013</c:v>
                </c:pt>
                <c:pt idx="47">
                  <c:v>18.800000000000015</c:v>
                </c:pt>
                <c:pt idx="48">
                  <c:v>19.200000000000014</c:v>
                </c:pt>
                <c:pt idx="49">
                  <c:v>19.600000000000016</c:v>
                </c:pt>
                <c:pt idx="50">
                  <c:v>20.000000000000014</c:v>
                </c:pt>
                <c:pt idx="51">
                  <c:v>20.400000000000013</c:v>
                </c:pt>
                <c:pt idx="52">
                  <c:v>20.800000000000015</c:v>
                </c:pt>
                <c:pt idx="53">
                  <c:v>21.200000000000014</c:v>
                </c:pt>
                <c:pt idx="54">
                  <c:v>21.600000000000016</c:v>
                </c:pt>
                <c:pt idx="55">
                  <c:v>22.000000000000014</c:v>
                </c:pt>
                <c:pt idx="56">
                  <c:v>22.400000000000016</c:v>
                </c:pt>
                <c:pt idx="57">
                  <c:v>22.800000000000015</c:v>
                </c:pt>
                <c:pt idx="58">
                  <c:v>23.200000000000017</c:v>
                </c:pt>
                <c:pt idx="59">
                  <c:v>23.600000000000016</c:v>
                </c:pt>
                <c:pt idx="60">
                  <c:v>24.000000000000018</c:v>
                </c:pt>
                <c:pt idx="61">
                  <c:v>24.400000000000016</c:v>
                </c:pt>
                <c:pt idx="62">
                  <c:v>24.800000000000018</c:v>
                </c:pt>
                <c:pt idx="63">
                  <c:v>25.200000000000017</c:v>
                </c:pt>
                <c:pt idx="64">
                  <c:v>25.600000000000019</c:v>
                </c:pt>
                <c:pt idx="65">
                  <c:v>26.000000000000018</c:v>
                </c:pt>
                <c:pt idx="66">
                  <c:v>26.40000000000002</c:v>
                </c:pt>
                <c:pt idx="67">
                  <c:v>26.800000000000018</c:v>
                </c:pt>
                <c:pt idx="68">
                  <c:v>27.200000000000021</c:v>
                </c:pt>
                <c:pt idx="69">
                  <c:v>27.600000000000019</c:v>
                </c:pt>
                <c:pt idx="70">
                  <c:v>28.000000000000021</c:v>
                </c:pt>
                <c:pt idx="71">
                  <c:v>28.40000000000002</c:v>
                </c:pt>
                <c:pt idx="72">
                  <c:v>28.800000000000022</c:v>
                </c:pt>
                <c:pt idx="73">
                  <c:v>29.200000000000021</c:v>
                </c:pt>
                <c:pt idx="74">
                  <c:v>29.600000000000023</c:v>
                </c:pt>
                <c:pt idx="75">
                  <c:v>30.000000000000021</c:v>
                </c:pt>
                <c:pt idx="76">
                  <c:v>30.400000000000023</c:v>
                </c:pt>
                <c:pt idx="77">
                  <c:v>30.800000000000026</c:v>
                </c:pt>
                <c:pt idx="78">
                  <c:v>31.200000000000024</c:v>
                </c:pt>
                <c:pt idx="79">
                  <c:v>31.600000000000026</c:v>
                </c:pt>
                <c:pt idx="80">
                  <c:v>32.000000000000028</c:v>
                </c:pt>
                <c:pt idx="81">
                  <c:v>32.400000000000027</c:v>
                </c:pt>
                <c:pt idx="82">
                  <c:v>32.800000000000026</c:v>
                </c:pt>
                <c:pt idx="83">
                  <c:v>33.200000000000024</c:v>
                </c:pt>
                <c:pt idx="84">
                  <c:v>33.60000000000003</c:v>
                </c:pt>
                <c:pt idx="85">
                  <c:v>34.000000000000028</c:v>
                </c:pt>
                <c:pt idx="86">
                  <c:v>34.400000000000027</c:v>
                </c:pt>
                <c:pt idx="87">
                  <c:v>34.800000000000026</c:v>
                </c:pt>
                <c:pt idx="88">
                  <c:v>35.200000000000031</c:v>
                </c:pt>
              </c:numCache>
            </c:numRef>
          </c:xVal>
          <c:yVal>
            <c:numRef>
              <c:f>Calculos!$E$3:$E$91</c:f>
              <c:numCache>
                <c:formatCode>0.000000E+00</c:formatCode>
                <c:ptCount val="89"/>
                <c:pt idx="0">
                  <c:v>0</c:v>
                </c:pt>
                <c:pt idx="1">
                  <c:v>0.6848203230275508</c:v>
                </c:pt>
                <c:pt idx="2">
                  <c:v>1.3536406460551018</c:v>
                </c:pt>
                <c:pt idx="3">
                  <c:v>2.0064609690826525</c:v>
                </c:pt>
                <c:pt idx="4">
                  <c:v>2.6432812921102036</c:v>
                </c:pt>
                <c:pt idx="5">
                  <c:v>3.2641016151377542</c:v>
                </c:pt>
                <c:pt idx="6">
                  <c:v>3.8689219381653053</c:v>
                </c:pt>
                <c:pt idx="7">
                  <c:v>4.4577422611928563</c:v>
                </c:pt>
                <c:pt idx="8">
                  <c:v>5.0305625842204069</c:v>
                </c:pt>
                <c:pt idx="9">
                  <c:v>5.5873829072479575</c:v>
                </c:pt>
                <c:pt idx="10">
                  <c:v>6.1282032302755081</c:v>
                </c:pt>
                <c:pt idx="11">
                  <c:v>6.6530235533030586</c:v>
                </c:pt>
                <c:pt idx="12">
                  <c:v>7.1618438763306091</c:v>
                </c:pt>
                <c:pt idx="13">
                  <c:v>7.6546641993581597</c:v>
                </c:pt>
                <c:pt idx="14">
                  <c:v>8.131484522385712</c:v>
                </c:pt>
                <c:pt idx="15">
                  <c:v>8.5923048454132616</c:v>
                </c:pt>
                <c:pt idx="16">
                  <c:v>9.0371251684408129</c:v>
                </c:pt>
                <c:pt idx="17">
                  <c:v>9.4659454914683643</c:v>
                </c:pt>
                <c:pt idx="18">
                  <c:v>9.8787658144959156</c:v>
                </c:pt>
                <c:pt idx="19">
                  <c:v>10.275586137523467</c:v>
                </c:pt>
                <c:pt idx="20">
                  <c:v>10.656406460551018</c:v>
                </c:pt>
                <c:pt idx="21">
                  <c:v>11.02122678357857</c:v>
                </c:pt>
                <c:pt idx="22">
                  <c:v>11.370047106606121</c:v>
                </c:pt>
                <c:pt idx="23">
                  <c:v>11.702867429633672</c:v>
                </c:pt>
                <c:pt idx="24">
                  <c:v>12.019687752661223</c:v>
                </c:pt>
                <c:pt idx="25">
                  <c:v>12.320508075688773</c:v>
                </c:pt>
                <c:pt idx="26">
                  <c:v>12.605328398716324</c:v>
                </c:pt>
                <c:pt idx="27">
                  <c:v>12.874148721743875</c:v>
                </c:pt>
                <c:pt idx="28">
                  <c:v>13.126969044771426</c:v>
                </c:pt>
                <c:pt idx="29">
                  <c:v>13.363789367798976</c:v>
                </c:pt>
                <c:pt idx="30">
                  <c:v>13.584609690826527</c:v>
                </c:pt>
                <c:pt idx="31">
                  <c:v>13.789430013854078</c:v>
                </c:pt>
                <c:pt idx="32">
                  <c:v>13.978250336881629</c:v>
                </c:pt>
                <c:pt idx="33">
                  <c:v>14.15107065990918</c:v>
                </c:pt>
                <c:pt idx="34">
                  <c:v>14.30789098293673</c:v>
                </c:pt>
                <c:pt idx="35">
                  <c:v>14.448711305964281</c:v>
                </c:pt>
                <c:pt idx="36">
                  <c:v>14.573531628991832</c:v>
                </c:pt>
                <c:pt idx="37">
                  <c:v>14.682351952019383</c:v>
                </c:pt>
                <c:pt idx="38">
                  <c:v>14.775172275046934</c:v>
                </c:pt>
                <c:pt idx="39">
                  <c:v>14.851992598074483</c:v>
                </c:pt>
                <c:pt idx="40">
                  <c:v>14.912812921102034</c:v>
                </c:pt>
                <c:pt idx="41">
                  <c:v>14.957633244129585</c:v>
                </c:pt>
                <c:pt idx="42">
                  <c:v>14.986453567157136</c:v>
                </c:pt>
                <c:pt idx="43">
                  <c:v>14.999273890184686</c:v>
                </c:pt>
                <c:pt idx="44">
                  <c:v>14.996094213212237</c:v>
                </c:pt>
                <c:pt idx="45">
                  <c:v>14.976914536239788</c:v>
                </c:pt>
                <c:pt idx="46">
                  <c:v>14.941734859267338</c:v>
                </c:pt>
                <c:pt idx="47">
                  <c:v>14.890555182294888</c:v>
                </c:pt>
                <c:pt idx="48">
                  <c:v>14.823375505322439</c:v>
                </c:pt>
                <c:pt idx="49">
                  <c:v>14.740195828349989</c:v>
                </c:pt>
                <c:pt idx="50">
                  <c:v>14.64101615137754</c:v>
                </c:pt>
                <c:pt idx="51">
                  <c:v>14.525836474405089</c:v>
                </c:pt>
                <c:pt idx="52">
                  <c:v>14.39465679743264</c:v>
                </c:pt>
                <c:pt idx="53">
                  <c:v>14.247477120460191</c:v>
                </c:pt>
                <c:pt idx="54">
                  <c:v>14.084297443487742</c:v>
                </c:pt>
                <c:pt idx="55">
                  <c:v>13.905117766515291</c:v>
                </c:pt>
                <c:pt idx="56">
                  <c:v>13.709938089542842</c:v>
                </c:pt>
                <c:pt idx="57">
                  <c:v>13.498758412570393</c:v>
                </c:pt>
                <c:pt idx="58">
                  <c:v>13.271578735597942</c:v>
                </c:pt>
                <c:pt idx="59">
                  <c:v>13.028399058625492</c:v>
                </c:pt>
                <c:pt idx="60">
                  <c:v>12.769219381653043</c:v>
                </c:pt>
                <c:pt idx="61">
                  <c:v>12.494039704680592</c:v>
                </c:pt>
                <c:pt idx="62">
                  <c:v>12.202860027708143</c:v>
                </c:pt>
                <c:pt idx="63">
                  <c:v>11.895680350735692</c:v>
                </c:pt>
                <c:pt idx="64">
                  <c:v>11.572500673763242</c:v>
                </c:pt>
                <c:pt idx="65">
                  <c:v>11.233320996790793</c:v>
                </c:pt>
                <c:pt idx="66">
                  <c:v>10.878141319818342</c:v>
                </c:pt>
                <c:pt idx="67">
                  <c:v>10.506961642845893</c:v>
                </c:pt>
                <c:pt idx="68">
                  <c:v>10.119781965873441</c:v>
                </c:pt>
                <c:pt idx="69">
                  <c:v>9.716602288900992</c:v>
                </c:pt>
                <c:pt idx="70">
                  <c:v>9.2974226119285426</c:v>
                </c:pt>
                <c:pt idx="71">
                  <c:v>8.8622429349560914</c:v>
                </c:pt>
                <c:pt idx="72">
                  <c:v>8.411063257983642</c:v>
                </c:pt>
                <c:pt idx="73">
                  <c:v>7.9438835810111907</c:v>
                </c:pt>
                <c:pt idx="74">
                  <c:v>7.4607039040387413</c:v>
                </c:pt>
                <c:pt idx="75">
                  <c:v>6.9615242270662909</c:v>
                </c:pt>
                <c:pt idx="76">
                  <c:v>6.4463445500938406</c:v>
                </c:pt>
                <c:pt idx="77">
                  <c:v>5.9151648731213902</c:v>
                </c:pt>
                <c:pt idx="78">
                  <c:v>5.3679851961489398</c:v>
                </c:pt>
                <c:pt idx="79">
                  <c:v>4.8048055191764893</c:v>
                </c:pt>
                <c:pt idx="80">
                  <c:v>4.2256258422040389</c:v>
                </c:pt>
                <c:pt idx="81">
                  <c:v>3.630446165231588</c:v>
                </c:pt>
                <c:pt idx="82">
                  <c:v>3.0192664882591376</c:v>
                </c:pt>
                <c:pt idx="83">
                  <c:v>2.3920868112866871</c:v>
                </c:pt>
                <c:pt idx="84">
                  <c:v>1.7489071343142366</c:v>
                </c:pt>
                <c:pt idx="85">
                  <c:v>1.0897274573417859</c:v>
                </c:pt>
                <c:pt idx="86">
                  <c:v>0.41454778036933537</c:v>
                </c:pt>
                <c:pt idx="87">
                  <c:v>-0.27663189660311527</c:v>
                </c:pt>
                <c:pt idx="88">
                  <c:v>-0.98381157357556592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AFC-420E-95AD-038EDB5E93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1196287"/>
        <c:axId val="1061196703"/>
      </c:scatterChart>
      <c:valAx>
        <c:axId val="1061196287"/>
        <c:scaling>
          <c:orientation val="minMax"/>
          <c:max val="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6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x(m)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061196703"/>
        <c:crosses val="autoZero"/>
        <c:crossBetween val="midCat"/>
      </c:valAx>
      <c:valAx>
        <c:axId val="1061196703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600" b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06119628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4949986064520013"/>
          <c:y val="0.17455776460246511"/>
          <c:w val="0.20976946196492782"/>
          <c:h val="0.11859352497802383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Calculos!$B$1</c:f>
              <c:strCache>
                <c:ptCount val="1"/>
                <c:pt idx="0">
                  <c:v>Com resitência do Ar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Calculos!$B$3:$B$91</c:f>
              <c:numCache>
                <c:formatCode>0.000000E+00</c:formatCode>
                <c:ptCount val="89"/>
                <c:pt idx="0">
                  <c:v>0</c:v>
                </c:pt>
                <c:pt idx="1">
                  <c:v>0.39210560847676829</c:v>
                </c:pt>
                <c:pt idx="2">
                  <c:v>0.76883653613364256</c:v>
                </c:pt>
                <c:pt idx="3">
                  <c:v>1.1307956328284254</c:v>
                </c:pt>
                <c:pt idx="4">
                  <c:v>1.4785621103378868</c:v>
                </c:pt>
                <c:pt idx="5">
                  <c:v>1.812692469220182</c:v>
                </c:pt>
                <c:pt idx="6">
                  <c:v>2.1337213893344669</c:v>
                </c:pt>
                <c:pt idx="7">
                  <c:v>2.4421625854427456</c:v>
                </c:pt>
                <c:pt idx="8">
                  <c:v>2.738509629263091</c:v>
                </c:pt>
                <c:pt idx="9">
                  <c:v>3.0232367392896902</c:v>
                </c:pt>
                <c:pt idx="10">
                  <c:v>3.2967995396436072</c:v>
                </c:pt>
                <c:pt idx="11">
                  <c:v>3.5596357891685866</c:v>
                </c:pt>
                <c:pt idx="12">
                  <c:v>3.8121660819385914</c:v>
                </c:pt>
                <c:pt idx="13">
                  <c:v>4.0547945202980573</c:v>
                </c:pt>
                <c:pt idx="14">
                  <c:v>4.2879093615118524</c:v>
                </c:pt>
                <c:pt idx="15">
                  <c:v>4.5118836390597359</c:v>
                </c:pt>
                <c:pt idx="16">
                  <c:v>4.727075759569515</c:v>
                </c:pt>
                <c:pt idx="17">
                  <c:v>4.9338300763441056</c:v>
                </c:pt>
                <c:pt idx="18">
                  <c:v>5.1324774404002849</c:v>
                </c:pt>
                <c:pt idx="19">
                  <c:v>5.3233357299009088</c:v>
                </c:pt>
                <c:pt idx="20">
                  <c:v>5.5067103588277861</c:v>
                </c:pt>
                <c:pt idx="21">
                  <c:v>5.6828947657092046</c:v>
                </c:pt>
                <c:pt idx="22">
                  <c:v>5.8521708831841881</c:v>
                </c:pt>
                <c:pt idx="23">
                  <c:v>6.0148095891548605</c:v>
                </c:pt>
                <c:pt idx="24">
                  <c:v>6.1710711402488823</c:v>
                </c:pt>
                <c:pt idx="25">
                  <c:v>6.3212055882855793</c:v>
                </c:pt>
                <c:pt idx="26">
                  <c:v>6.4654531804122009</c:v>
                </c:pt>
                <c:pt idx="27">
                  <c:v>6.6040447435506104</c:v>
                </c:pt>
                <c:pt idx="28">
                  <c:v>6.7372020537696073</c:v>
                </c:pt>
                <c:pt idx="29">
                  <c:v>6.8651381911739486</c:v>
                </c:pt>
                <c:pt idx="30">
                  <c:v>6.9880578808779816</c:v>
                </c:pt>
                <c:pt idx="31">
                  <c:v>7.1061578206094964</c:v>
                </c:pt>
                <c:pt idx="32">
                  <c:v>7.2196269954680607</c:v>
                </c:pt>
                <c:pt idx="33">
                  <c:v>7.3286469803414986</c:v>
                </c:pt>
                <c:pt idx="34">
                  <c:v>7.4333922304644444</c:v>
                </c:pt>
                <c:pt idx="35">
                  <c:v>7.5340303605839383</c:v>
                </c:pt>
                <c:pt idx="36">
                  <c:v>7.630722413178785</c:v>
                </c:pt>
                <c:pt idx="37">
                  <c:v>7.7236231161618756</c:v>
                </c:pt>
                <c:pt idx="38">
                  <c:v>7.8128811304778552</c:v>
                </c:pt>
                <c:pt idx="39">
                  <c:v>7.8986392879923555</c:v>
                </c:pt>
                <c:pt idx="40">
                  <c:v>7.9810348200534493</c:v>
                </c:pt>
                <c:pt idx="41">
                  <c:v>8.0601995770910833</c:v>
                </c:pt>
                <c:pt idx="42">
                  <c:v>8.1362602396059032</c:v>
                </c:pt>
                <c:pt idx="43">
                  <c:v>8.2093385208850709</c:v>
                </c:pt>
                <c:pt idx="44">
                  <c:v>8.2795513617694976</c:v>
                </c:pt>
                <c:pt idx="45">
                  <c:v>8.3470111177841382</c:v>
                </c:pt>
                <c:pt idx="46">
                  <c:v>8.411825738930796</c:v>
                </c:pt>
                <c:pt idx="47">
                  <c:v>8.4740989424311639</c:v>
                </c:pt>
                <c:pt idx="48">
                  <c:v>8.5339303786965015</c:v>
                </c:pt>
                <c:pt idx="49">
                  <c:v>8.5914157907895525</c:v>
                </c:pt>
                <c:pt idx="50">
                  <c:v>8.6466471676338763</c:v>
                </c:pt>
                <c:pt idx="51">
                  <c:v>8.6997128912157429</c:v>
                </c:pt>
                <c:pt idx="52">
                  <c:v>8.7506978780141793</c:v>
                </c:pt>
                <c:pt idx="53">
                  <c:v>8.7996837148854361</c:v>
                </c:pt>
                <c:pt idx="54">
                  <c:v>8.8467487896193777</c:v>
                </c:pt>
                <c:pt idx="55">
                  <c:v>8.8919684163766632</c:v>
                </c:pt>
                <c:pt idx="56">
                  <c:v>8.9354149562074738</c:v>
                </c:pt>
                <c:pt idx="57">
                  <c:v>8.9771579328446283</c:v>
                </c:pt>
                <c:pt idx="58">
                  <c:v>9.0172641439563872</c:v>
                </c:pt>
                <c:pt idx="59">
                  <c:v>9.0557977680369799</c:v>
                </c:pt>
                <c:pt idx="60">
                  <c:v>9.0928204671058772</c:v>
                </c:pt>
                <c:pt idx="61">
                  <c:v>9.12839148538019</c:v>
                </c:pt>
                <c:pt idx="62">
                  <c:v>9.1625677440780429</c:v>
                </c:pt>
                <c:pt idx="63">
                  <c:v>9.1954039325046786</c:v>
                </c:pt>
                <c:pt idx="64">
                  <c:v>9.2269525955670044</c:v>
                </c:pt>
                <c:pt idx="65">
                  <c:v>9.2572642178566635</c:v>
                </c:pt>
                <c:pt idx="66">
                  <c:v>9.2863873044361416</c:v>
                </c:pt>
                <c:pt idx="67">
                  <c:v>9.3143684584572242</c:v>
                </c:pt>
                <c:pt idx="68">
                  <c:v>9.3412524557359724</c:v>
                </c:pt>
                <c:pt idx="69">
                  <c:v>9.3670823164035948</c:v>
                </c:pt>
                <c:pt idx="70">
                  <c:v>9.3918993737478225</c:v>
                </c:pt>
                <c:pt idx="71">
                  <c:v>9.4157433403549948</c:v>
                </c:pt>
                <c:pt idx="72">
                  <c:v>9.4386523716586659</c:v>
                </c:pt>
                <c:pt idx="73">
                  <c:v>9.4606631269964421</c:v>
                </c:pt>
                <c:pt idx="74">
                  <c:v>9.481810828272744</c:v>
                </c:pt>
                <c:pt idx="75">
                  <c:v>9.5021293163213638</c:v>
                </c:pt>
                <c:pt idx="76">
                  <c:v>9.5216511050580195</c:v>
                </c:pt>
                <c:pt idx="77">
                  <c:v>9.5404074335095608</c:v>
                </c:pt>
                <c:pt idx="78">
                  <c:v>9.5584283158030736</c:v>
                </c:pt>
                <c:pt idx="79">
                  <c:v>9.5757425891948884</c:v>
                </c:pt>
                <c:pt idx="80">
                  <c:v>9.592377960216341</c:v>
                </c:pt>
                <c:pt idx="81">
                  <c:v>9.6083610490101314</c:v>
                </c:pt>
                <c:pt idx="82">
                  <c:v>9.6237174319282399</c:v>
                </c:pt>
                <c:pt idx="83">
                  <c:v>9.6384716824595387</c:v>
                </c:pt>
                <c:pt idx="84">
                  <c:v>9.6526474105526177</c:v>
                </c:pt>
                <c:pt idx="85">
                  <c:v>9.6662673003967416</c:v>
                </c:pt>
                <c:pt idx="86">
                  <c:v>9.6793531467213949</c:v>
                </c:pt>
                <c:pt idx="87">
                  <c:v>9.6919258896724916</c:v>
                </c:pt>
                <c:pt idx="88">
                  <c:v>9.7040056483210826</c:v>
                </c:pt>
              </c:numCache>
            </c:numRef>
          </c:xVal>
          <c:yVal>
            <c:numRef>
              <c:f>Calculos!$C$3:$C$91</c:f>
              <c:numCache>
                <c:formatCode>0.000000E+00</c:formatCode>
                <c:ptCount val="89"/>
                <c:pt idx="0">
                  <c:v>0</c:v>
                </c:pt>
                <c:pt idx="1">
                  <c:v>0.67125244429124054</c:v>
                </c:pt>
                <c:pt idx="2">
                  <c:v>1.3005004794323758</c:v>
                </c:pt>
                <c:pt idx="3">
                  <c:v>1.8893911218642587</c:v>
                </c:pt>
                <c:pt idx="4">
                  <c:v>2.4395068075893662</c:v>
                </c:pt>
                <c:pt idx="5">
                  <c:v>2.95236792440702</c:v>
                </c:pt>
                <c:pt idx="6">
                  <c:v>3.4294352448582153</c:v>
                </c:pt>
                <c:pt idx="7">
                  <c:v>3.8721122637733489</c:v>
                </c:pt>
                <c:pt idx="8">
                  <c:v>4.2817474441633729</c:v>
                </c:pt>
                <c:pt idx="9">
                  <c:v>4.6596363750482954</c:v>
                </c:pt>
                <c:pt idx="10">
                  <c:v>5.0070238446760182</c:v>
                </c:pt>
                <c:pt idx="11">
                  <c:v>5.3251058324491121</c:v>
                </c:pt>
                <c:pt idx="12">
                  <c:v>5.6150314227470091</c:v>
                </c:pt>
                <c:pt idx="13">
                  <c:v>5.8779046437061631</c:v>
                </c:pt>
                <c:pt idx="14">
                  <c:v>6.1147862339006025</c:v>
                </c:pt>
                <c:pt idx="15">
                  <c:v>6.3266953397499535</c:v>
                </c:pt>
                <c:pt idx="16">
                  <c:v>6.5146111463711556</c:v>
                </c:pt>
                <c:pt idx="17">
                  <c:v>6.6794744444835246</c:v>
                </c:pt>
                <c:pt idx="18">
                  <c:v>6.8221891358746376</c:v>
                </c:pt>
                <c:pt idx="19">
                  <c:v>6.9436236798360333</c:v>
                </c:pt>
                <c:pt idx="20">
                  <c:v>7.0446124828833483</c:v>
                </c:pt>
                <c:pt idx="21">
                  <c:v>7.1259572339847708</c:v>
                </c:pt>
                <c:pt idx="22">
                  <c:v>7.1884281874344236</c:v>
                </c:pt>
                <c:pt idx="23">
                  <c:v>7.2327653954235558</c:v>
                </c:pt>
                <c:pt idx="24">
                  <c:v>7.2596798922819428</c:v>
                </c:pt>
                <c:pt idx="25">
                  <c:v>7.2698548322845102</c:v>
                </c:pt>
                <c:pt idx="26">
                  <c:v>7.2639465828439107</c:v>
                </c:pt>
                <c:pt idx="27">
                  <c:v>7.2425857748384406</c:v>
                </c:pt>
                <c:pt idx="28">
                  <c:v>7.2063783117559481</c:v>
                </c:pt>
                <c:pt idx="29">
                  <c:v>7.1559063392687197</c:v>
                </c:pt>
                <c:pt idx="30">
                  <c:v>7.0917291767907393</c:v>
                </c:pt>
                <c:pt idx="31">
                  <c:v>7.0143842125080607</c:v>
                </c:pt>
                <c:pt idx="32">
                  <c:v>6.9243877633145772</c:v>
                </c:pt>
                <c:pt idx="33">
                  <c:v>6.8222359010291971</c:v>
                </c:pt>
                <c:pt idx="34">
                  <c:v>6.7084052462165928</c:v>
                </c:pt>
                <c:pt idx="35">
                  <c:v>6.5833537308817771</c:v>
                </c:pt>
                <c:pt idx="36">
                  <c:v>6.4475213312590185</c:v>
                </c:pt>
                <c:pt idx="37">
                  <c:v>6.3013307718676881</c:v>
                </c:pt>
                <c:pt idx="38">
                  <c:v>6.1451882019616555</c:v>
                </c:pt>
                <c:pt idx="39">
                  <c:v>5.9794838454547641</c:v>
                </c:pt>
                <c:pt idx="40">
                  <c:v>5.8045926253623428</c:v>
                </c:pt>
                <c:pt idx="41">
                  <c:v>5.6208747637580068</c:v>
                </c:pt>
                <c:pt idx="42">
                  <c:v>5.4286763582058413</c:v>
                </c:pt>
                <c:pt idx="43">
                  <c:v>5.2283299355903345</c:v>
                </c:pt>
                <c:pt idx="44">
                  <c:v>5.0201549842303379</c:v>
                </c:pt>
                <c:pt idx="45">
                  <c:v>4.8044584651285334</c:v>
                </c:pt>
                <c:pt idx="46">
                  <c:v>4.5815353031745367</c:v>
                </c:pt>
                <c:pt idx="47">
                  <c:v>4.3516688590876136</c:v>
                </c:pt>
                <c:pt idx="48">
                  <c:v>4.1151313828543366</c:v>
                </c:pt>
                <c:pt idx="49">
                  <c:v>3.8721844493865838</c:v>
                </c:pt>
                <c:pt idx="50">
                  <c:v>3.6230793770972625</c:v>
                </c:pt>
                <c:pt idx="51">
                  <c:v>3.3680576300633298</c:v>
                </c:pt>
                <c:pt idx="52">
                  <c:v>3.1073512044198814</c:v>
                </c:pt>
                <c:pt idx="53">
                  <c:v>2.8411829996034363</c:v>
                </c:pt>
                <c:pt idx="54">
                  <c:v>2.5697671750385958</c:v>
                </c:pt>
                <c:pt idx="55">
                  <c:v>2.293309492838798</c:v>
                </c:pt>
                <c:pt idx="56">
                  <c:v>2.012007647069634</c:v>
                </c:pt>
                <c:pt idx="57">
                  <c:v>1.7260515801015011</c:v>
                </c:pt>
                <c:pt idx="58">
                  <c:v>1.4356237865579153</c:v>
                </c:pt>
                <c:pt idx="59">
                  <c:v>1.1408996053458473</c:v>
                </c:pt>
                <c:pt idx="60">
                  <c:v>0.84204750023540953</c:v>
                </c:pt>
                <c:pt idx="61">
                  <c:v>0.53922932943779145</c:v>
                </c:pt>
                <c:pt idx="62">
                  <c:v>0.23260060461294785</c:v>
                </c:pt>
                <c:pt idx="63">
                  <c:v>-7.768926027858214E-2</c:v>
                </c:pt>
                <c:pt idx="64">
                  <c:v>-0.39149670988143725</c:v>
                </c:pt>
                <c:pt idx="65">
                  <c:v>-0.70868381772625</c:v>
                </c:pt>
                <c:pt idx="66">
                  <c:v>-1.0291180655178884</c:v>
                </c:pt>
                <c:pt idx="67">
                  <c:v>-1.3526721310778846</c:v>
                </c:pt>
                <c:pt idx="68">
                  <c:v>-1.6792236846018014</c:v>
                </c:pt>
                <c:pt idx="69">
                  <c:v>-2.0086551929054259</c:v>
                </c:pt>
                <c:pt idx="70">
                  <c:v>-2.3408537313466482</c:v>
                </c:pt>
                <c:pt idx="71">
                  <c:v>-2.6757108031218806</c:v>
                </c:pt>
                <c:pt idx="72">
                  <c:v>-3.0131221656480704</c:v>
                </c:pt>
                <c:pt idx="73">
                  <c:v>-3.3529876637522946</c:v>
                </c:pt>
                <c:pt idx="74">
                  <c:v>-3.6952110694021449</c:v>
                </c:pt>
                <c:pt idx="75">
                  <c:v>-4.0396999277203385</c:v>
                </c:pt>
                <c:pt idx="76">
                  <c:v>-4.3863654090371718</c:v>
                </c:pt>
                <c:pt idx="77">
                  <c:v>-4.7351221667441088</c:v>
                </c:pt>
                <c:pt idx="78">
                  <c:v>-5.085888200721012</c:v>
                </c:pt>
                <c:pt idx="79">
                  <c:v>-5.4385847261184388</c:v>
                </c:pt>
                <c:pt idx="80">
                  <c:v>-5.7931360472850777</c:v>
                </c:pt>
                <c:pt idx="81">
                  <c:v>-6.1494694366385509</c:v>
                </c:pt>
                <c:pt idx="82">
                  <c:v>-6.5075150182857939</c:v>
                </c:pt>
                <c:pt idx="83">
                  <c:v>-6.8672056562066892</c:v>
                </c:pt>
                <c:pt idx="84">
                  <c:v>-7.2284768468221188</c:v>
                </c:pt>
                <c:pt idx="85">
                  <c:v>-7.5912666157744759</c:v>
                </c:pt>
                <c:pt idx="86">
                  <c:v>-7.9555154187554855</c:v>
                </c:pt>
                <c:pt idx="87">
                  <c:v>-8.32116604622259</c:v>
                </c:pt>
                <c:pt idx="88">
                  <c:v>-8.6881635318514725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27-4381-8BF0-A956E8DFF8DE}"/>
            </c:ext>
          </c:extLst>
        </c:ser>
        <c:ser>
          <c:idx val="1"/>
          <c:order val="1"/>
          <c:tx>
            <c:strRef>
              <c:f>Calculos!$D$1</c:f>
              <c:strCache>
                <c:ptCount val="1"/>
                <c:pt idx="0">
                  <c:v>Sem Resistência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Calculos!$D$3:$D$91</c:f>
              <c:numCache>
                <c:formatCode>0.000000E+00</c:formatCode>
                <c:ptCount val="89"/>
                <c:pt idx="0">
                  <c:v>0</c:v>
                </c:pt>
                <c:pt idx="1">
                  <c:v>0.40000000000000008</c:v>
                </c:pt>
                <c:pt idx="2">
                  <c:v>0.80000000000000016</c:v>
                </c:pt>
                <c:pt idx="3">
                  <c:v>1.2000000000000002</c:v>
                </c:pt>
                <c:pt idx="4">
                  <c:v>1.6000000000000003</c:v>
                </c:pt>
                <c:pt idx="5">
                  <c:v>2.0000000000000004</c:v>
                </c:pt>
                <c:pt idx="6">
                  <c:v>2.4000000000000008</c:v>
                </c:pt>
                <c:pt idx="7">
                  <c:v>2.8000000000000007</c:v>
                </c:pt>
                <c:pt idx="8">
                  <c:v>3.2000000000000006</c:v>
                </c:pt>
                <c:pt idx="9">
                  <c:v>3.6000000000000005</c:v>
                </c:pt>
                <c:pt idx="10">
                  <c:v>4</c:v>
                </c:pt>
                <c:pt idx="11">
                  <c:v>4.4000000000000004</c:v>
                </c:pt>
                <c:pt idx="12">
                  <c:v>4.8</c:v>
                </c:pt>
                <c:pt idx="13">
                  <c:v>5.2</c:v>
                </c:pt>
                <c:pt idx="14">
                  <c:v>5.6000000000000005</c:v>
                </c:pt>
                <c:pt idx="15">
                  <c:v>6.0000000000000009</c:v>
                </c:pt>
                <c:pt idx="16">
                  <c:v>6.4000000000000012</c:v>
                </c:pt>
                <c:pt idx="17">
                  <c:v>6.8000000000000016</c:v>
                </c:pt>
                <c:pt idx="18">
                  <c:v>7.200000000000002</c:v>
                </c:pt>
                <c:pt idx="19">
                  <c:v>7.6000000000000023</c:v>
                </c:pt>
                <c:pt idx="20">
                  <c:v>8.0000000000000036</c:v>
                </c:pt>
                <c:pt idx="21">
                  <c:v>8.4000000000000039</c:v>
                </c:pt>
                <c:pt idx="22">
                  <c:v>8.8000000000000043</c:v>
                </c:pt>
                <c:pt idx="23">
                  <c:v>9.2000000000000046</c:v>
                </c:pt>
                <c:pt idx="24">
                  <c:v>9.600000000000005</c:v>
                </c:pt>
                <c:pt idx="25">
                  <c:v>10.000000000000004</c:v>
                </c:pt>
                <c:pt idx="26">
                  <c:v>10.400000000000004</c:v>
                </c:pt>
                <c:pt idx="27">
                  <c:v>10.800000000000004</c:v>
                </c:pt>
                <c:pt idx="28">
                  <c:v>11.200000000000005</c:v>
                </c:pt>
                <c:pt idx="29">
                  <c:v>11.600000000000005</c:v>
                </c:pt>
                <c:pt idx="30">
                  <c:v>12.000000000000005</c:v>
                </c:pt>
                <c:pt idx="31">
                  <c:v>12.400000000000006</c:v>
                </c:pt>
                <c:pt idx="32">
                  <c:v>12.800000000000008</c:v>
                </c:pt>
                <c:pt idx="33">
                  <c:v>13.200000000000008</c:v>
                </c:pt>
                <c:pt idx="34">
                  <c:v>13.600000000000009</c:v>
                </c:pt>
                <c:pt idx="35">
                  <c:v>14.000000000000009</c:v>
                </c:pt>
                <c:pt idx="36">
                  <c:v>14.400000000000009</c:v>
                </c:pt>
                <c:pt idx="37">
                  <c:v>14.80000000000001</c:v>
                </c:pt>
                <c:pt idx="38">
                  <c:v>15.20000000000001</c:v>
                </c:pt>
                <c:pt idx="39">
                  <c:v>15.60000000000001</c:v>
                </c:pt>
                <c:pt idx="40">
                  <c:v>16.000000000000011</c:v>
                </c:pt>
                <c:pt idx="41">
                  <c:v>16.400000000000009</c:v>
                </c:pt>
                <c:pt idx="42">
                  <c:v>16.800000000000011</c:v>
                </c:pt>
                <c:pt idx="43">
                  <c:v>17.20000000000001</c:v>
                </c:pt>
                <c:pt idx="44">
                  <c:v>17.600000000000012</c:v>
                </c:pt>
                <c:pt idx="45">
                  <c:v>18.000000000000014</c:v>
                </c:pt>
                <c:pt idx="46">
                  <c:v>18.400000000000013</c:v>
                </c:pt>
                <c:pt idx="47">
                  <c:v>18.800000000000015</c:v>
                </c:pt>
                <c:pt idx="48">
                  <c:v>19.200000000000014</c:v>
                </c:pt>
                <c:pt idx="49">
                  <c:v>19.600000000000016</c:v>
                </c:pt>
                <c:pt idx="50">
                  <c:v>20.000000000000014</c:v>
                </c:pt>
                <c:pt idx="51">
                  <c:v>20.400000000000013</c:v>
                </c:pt>
                <c:pt idx="52">
                  <c:v>20.800000000000015</c:v>
                </c:pt>
                <c:pt idx="53">
                  <c:v>21.200000000000014</c:v>
                </c:pt>
                <c:pt idx="54">
                  <c:v>21.600000000000016</c:v>
                </c:pt>
                <c:pt idx="55">
                  <c:v>22.000000000000014</c:v>
                </c:pt>
                <c:pt idx="56">
                  <c:v>22.400000000000016</c:v>
                </c:pt>
                <c:pt idx="57">
                  <c:v>22.800000000000015</c:v>
                </c:pt>
                <c:pt idx="58">
                  <c:v>23.200000000000017</c:v>
                </c:pt>
                <c:pt idx="59">
                  <c:v>23.600000000000016</c:v>
                </c:pt>
                <c:pt idx="60">
                  <c:v>24.000000000000018</c:v>
                </c:pt>
                <c:pt idx="61">
                  <c:v>24.400000000000016</c:v>
                </c:pt>
                <c:pt idx="62">
                  <c:v>24.800000000000018</c:v>
                </c:pt>
                <c:pt idx="63">
                  <c:v>25.200000000000017</c:v>
                </c:pt>
                <c:pt idx="64">
                  <c:v>25.600000000000019</c:v>
                </c:pt>
                <c:pt idx="65">
                  <c:v>26.000000000000018</c:v>
                </c:pt>
                <c:pt idx="66">
                  <c:v>26.40000000000002</c:v>
                </c:pt>
                <c:pt idx="67">
                  <c:v>26.800000000000018</c:v>
                </c:pt>
                <c:pt idx="68">
                  <c:v>27.200000000000021</c:v>
                </c:pt>
                <c:pt idx="69">
                  <c:v>27.600000000000019</c:v>
                </c:pt>
                <c:pt idx="70">
                  <c:v>28.000000000000021</c:v>
                </c:pt>
                <c:pt idx="71">
                  <c:v>28.40000000000002</c:v>
                </c:pt>
                <c:pt idx="72">
                  <c:v>28.800000000000022</c:v>
                </c:pt>
                <c:pt idx="73">
                  <c:v>29.200000000000021</c:v>
                </c:pt>
                <c:pt idx="74">
                  <c:v>29.600000000000023</c:v>
                </c:pt>
                <c:pt idx="75">
                  <c:v>30.000000000000021</c:v>
                </c:pt>
                <c:pt idx="76">
                  <c:v>30.400000000000023</c:v>
                </c:pt>
                <c:pt idx="77">
                  <c:v>30.800000000000026</c:v>
                </c:pt>
                <c:pt idx="78">
                  <c:v>31.200000000000024</c:v>
                </c:pt>
                <c:pt idx="79">
                  <c:v>31.600000000000026</c:v>
                </c:pt>
                <c:pt idx="80">
                  <c:v>32.000000000000028</c:v>
                </c:pt>
                <c:pt idx="81">
                  <c:v>32.400000000000027</c:v>
                </c:pt>
                <c:pt idx="82">
                  <c:v>32.800000000000026</c:v>
                </c:pt>
                <c:pt idx="83">
                  <c:v>33.200000000000024</c:v>
                </c:pt>
                <c:pt idx="84">
                  <c:v>33.60000000000003</c:v>
                </c:pt>
                <c:pt idx="85">
                  <c:v>34.000000000000028</c:v>
                </c:pt>
                <c:pt idx="86">
                  <c:v>34.400000000000027</c:v>
                </c:pt>
                <c:pt idx="87">
                  <c:v>34.800000000000026</c:v>
                </c:pt>
                <c:pt idx="88">
                  <c:v>35.200000000000031</c:v>
                </c:pt>
              </c:numCache>
            </c:numRef>
          </c:xVal>
          <c:yVal>
            <c:numRef>
              <c:f>Calculos!$E$3:$E$91</c:f>
              <c:numCache>
                <c:formatCode>0.000000E+00</c:formatCode>
                <c:ptCount val="89"/>
                <c:pt idx="0">
                  <c:v>0</c:v>
                </c:pt>
                <c:pt idx="1">
                  <c:v>0.6848203230275508</c:v>
                </c:pt>
                <c:pt idx="2">
                  <c:v>1.3536406460551018</c:v>
                </c:pt>
                <c:pt idx="3">
                  <c:v>2.0064609690826525</c:v>
                </c:pt>
                <c:pt idx="4">
                  <c:v>2.6432812921102036</c:v>
                </c:pt>
                <c:pt idx="5">
                  <c:v>3.2641016151377542</c:v>
                </c:pt>
                <c:pt idx="6">
                  <c:v>3.8689219381653053</c:v>
                </c:pt>
                <c:pt idx="7">
                  <c:v>4.4577422611928563</c:v>
                </c:pt>
                <c:pt idx="8">
                  <c:v>5.0305625842204069</c:v>
                </c:pt>
                <c:pt idx="9">
                  <c:v>5.5873829072479575</c:v>
                </c:pt>
                <c:pt idx="10">
                  <c:v>6.1282032302755081</c:v>
                </c:pt>
                <c:pt idx="11">
                  <c:v>6.6530235533030586</c:v>
                </c:pt>
                <c:pt idx="12">
                  <c:v>7.1618438763306091</c:v>
                </c:pt>
                <c:pt idx="13">
                  <c:v>7.6546641993581597</c:v>
                </c:pt>
                <c:pt idx="14">
                  <c:v>8.131484522385712</c:v>
                </c:pt>
                <c:pt idx="15">
                  <c:v>8.5923048454132616</c:v>
                </c:pt>
                <c:pt idx="16">
                  <c:v>9.0371251684408129</c:v>
                </c:pt>
                <c:pt idx="17">
                  <c:v>9.4659454914683643</c:v>
                </c:pt>
                <c:pt idx="18">
                  <c:v>9.8787658144959156</c:v>
                </c:pt>
                <c:pt idx="19">
                  <c:v>10.275586137523467</c:v>
                </c:pt>
                <c:pt idx="20">
                  <c:v>10.656406460551018</c:v>
                </c:pt>
                <c:pt idx="21">
                  <c:v>11.02122678357857</c:v>
                </c:pt>
                <c:pt idx="22">
                  <c:v>11.370047106606121</c:v>
                </c:pt>
                <c:pt idx="23">
                  <c:v>11.702867429633672</c:v>
                </c:pt>
                <c:pt idx="24">
                  <c:v>12.019687752661223</c:v>
                </c:pt>
                <c:pt idx="25">
                  <c:v>12.320508075688773</c:v>
                </c:pt>
                <c:pt idx="26">
                  <c:v>12.605328398716324</c:v>
                </c:pt>
                <c:pt idx="27">
                  <c:v>12.874148721743875</c:v>
                </c:pt>
                <c:pt idx="28">
                  <c:v>13.126969044771426</c:v>
                </c:pt>
                <c:pt idx="29">
                  <c:v>13.363789367798976</c:v>
                </c:pt>
                <c:pt idx="30">
                  <c:v>13.584609690826527</c:v>
                </c:pt>
                <c:pt idx="31">
                  <c:v>13.789430013854078</c:v>
                </c:pt>
                <c:pt idx="32">
                  <c:v>13.978250336881629</c:v>
                </c:pt>
                <c:pt idx="33">
                  <c:v>14.15107065990918</c:v>
                </c:pt>
                <c:pt idx="34">
                  <c:v>14.30789098293673</c:v>
                </c:pt>
                <c:pt idx="35">
                  <c:v>14.448711305964281</c:v>
                </c:pt>
                <c:pt idx="36">
                  <c:v>14.573531628991832</c:v>
                </c:pt>
                <c:pt idx="37">
                  <c:v>14.682351952019383</c:v>
                </c:pt>
                <c:pt idx="38">
                  <c:v>14.775172275046934</c:v>
                </c:pt>
                <c:pt idx="39">
                  <c:v>14.851992598074483</c:v>
                </c:pt>
                <c:pt idx="40">
                  <c:v>14.912812921102034</c:v>
                </c:pt>
                <c:pt idx="41">
                  <c:v>14.957633244129585</c:v>
                </c:pt>
                <c:pt idx="42">
                  <c:v>14.986453567157136</c:v>
                </c:pt>
                <c:pt idx="43">
                  <c:v>14.999273890184686</c:v>
                </c:pt>
                <c:pt idx="44">
                  <c:v>14.996094213212237</c:v>
                </c:pt>
                <c:pt idx="45">
                  <c:v>14.976914536239788</c:v>
                </c:pt>
                <c:pt idx="46">
                  <c:v>14.941734859267338</c:v>
                </c:pt>
                <c:pt idx="47">
                  <c:v>14.890555182294888</c:v>
                </c:pt>
                <c:pt idx="48">
                  <c:v>14.823375505322439</c:v>
                </c:pt>
                <c:pt idx="49">
                  <c:v>14.740195828349989</c:v>
                </c:pt>
                <c:pt idx="50">
                  <c:v>14.64101615137754</c:v>
                </c:pt>
                <c:pt idx="51">
                  <c:v>14.525836474405089</c:v>
                </c:pt>
                <c:pt idx="52">
                  <c:v>14.39465679743264</c:v>
                </c:pt>
                <c:pt idx="53">
                  <c:v>14.247477120460191</c:v>
                </c:pt>
                <c:pt idx="54">
                  <c:v>14.084297443487742</c:v>
                </c:pt>
                <c:pt idx="55">
                  <c:v>13.905117766515291</c:v>
                </c:pt>
                <c:pt idx="56">
                  <c:v>13.709938089542842</c:v>
                </c:pt>
                <c:pt idx="57">
                  <c:v>13.498758412570393</c:v>
                </c:pt>
                <c:pt idx="58">
                  <c:v>13.271578735597942</c:v>
                </c:pt>
                <c:pt idx="59">
                  <c:v>13.028399058625492</c:v>
                </c:pt>
                <c:pt idx="60">
                  <c:v>12.769219381653043</c:v>
                </c:pt>
                <c:pt idx="61">
                  <c:v>12.494039704680592</c:v>
                </c:pt>
                <c:pt idx="62">
                  <c:v>12.202860027708143</c:v>
                </c:pt>
                <c:pt idx="63">
                  <c:v>11.895680350735692</c:v>
                </c:pt>
                <c:pt idx="64">
                  <c:v>11.572500673763242</c:v>
                </c:pt>
                <c:pt idx="65">
                  <c:v>11.233320996790793</c:v>
                </c:pt>
                <c:pt idx="66">
                  <c:v>10.878141319818342</c:v>
                </c:pt>
                <c:pt idx="67">
                  <c:v>10.506961642845893</c:v>
                </c:pt>
                <c:pt idx="68">
                  <c:v>10.119781965873441</c:v>
                </c:pt>
                <c:pt idx="69">
                  <c:v>9.716602288900992</c:v>
                </c:pt>
                <c:pt idx="70">
                  <c:v>9.2974226119285426</c:v>
                </c:pt>
                <c:pt idx="71">
                  <c:v>8.8622429349560914</c:v>
                </c:pt>
                <c:pt idx="72">
                  <c:v>8.411063257983642</c:v>
                </c:pt>
                <c:pt idx="73">
                  <c:v>7.9438835810111907</c:v>
                </c:pt>
                <c:pt idx="74">
                  <c:v>7.4607039040387413</c:v>
                </c:pt>
                <c:pt idx="75">
                  <c:v>6.9615242270662909</c:v>
                </c:pt>
                <c:pt idx="76">
                  <c:v>6.4463445500938406</c:v>
                </c:pt>
                <c:pt idx="77">
                  <c:v>5.9151648731213902</c:v>
                </c:pt>
                <c:pt idx="78">
                  <c:v>5.3679851961489398</c:v>
                </c:pt>
                <c:pt idx="79">
                  <c:v>4.8048055191764893</c:v>
                </c:pt>
                <c:pt idx="80">
                  <c:v>4.2256258422040389</c:v>
                </c:pt>
                <c:pt idx="81">
                  <c:v>3.630446165231588</c:v>
                </c:pt>
                <c:pt idx="82">
                  <c:v>3.0192664882591376</c:v>
                </c:pt>
                <c:pt idx="83">
                  <c:v>2.3920868112866871</c:v>
                </c:pt>
                <c:pt idx="84">
                  <c:v>1.7489071343142366</c:v>
                </c:pt>
                <c:pt idx="85">
                  <c:v>1.0897274573417859</c:v>
                </c:pt>
                <c:pt idx="86">
                  <c:v>0.41454778036933537</c:v>
                </c:pt>
                <c:pt idx="87">
                  <c:v>-0.27663189660311527</c:v>
                </c:pt>
                <c:pt idx="88">
                  <c:v>-0.98381157357556592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927-4381-8BF0-A956E8DFF8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1196287"/>
        <c:axId val="1061196703"/>
      </c:scatterChart>
      <c:valAx>
        <c:axId val="10611962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61196703"/>
        <c:crosses val="autoZero"/>
        <c:crossBetween val="midCat"/>
      </c:valAx>
      <c:valAx>
        <c:axId val="10611967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611962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</xdr:row>
      <xdr:rowOff>57149</xdr:rowOff>
    </xdr:from>
    <xdr:to>
      <xdr:col>9</xdr:col>
      <xdr:colOff>457199</xdr:colOff>
      <xdr:row>27</xdr:row>
      <xdr:rowOff>57149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AE5AC75F-5665-4BEF-8114-1080263718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19050</xdr:rowOff>
        </xdr:from>
        <xdr:to>
          <xdr:col>8</xdr:col>
          <xdr:colOff>323850</xdr:colOff>
          <xdr:row>2</xdr:row>
          <xdr:rowOff>190500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times"/>
                  <a:cs typeface="times"/>
                </a:rPr>
                <a:t>Entrada de dados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552450</xdr:colOff>
      <xdr:row>66</xdr:row>
      <xdr:rowOff>166687</xdr:rowOff>
    </xdr:from>
    <xdr:to>
      <xdr:col>15</xdr:col>
      <xdr:colOff>247650</xdr:colOff>
      <xdr:row>81</xdr:row>
      <xdr:rowOff>52387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5AE5EA-8218-4846-BB7A-F1A1240343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45DB100-0783-4657-9939-55BC2B12E82B}" name="Tabela1" displayName="Tabela1" ref="A2:E91" totalsRowShown="0" dataDxfId="4">
  <tableColumns count="5">
    <tableColumn id="1" xr3:uid="{E76D4CD5-720B-4589-B936-024AB12D8F97}" name="tempo(s)" dataDxfId="5">
      <calculatedColumnFormula>A2+Lançamento!B$6</calculatedColumnFormula>
    </tableColumn>
    <tableColumn id="2" xr3:uid="{9F174A62-F0B7-425D-BD44-49BAA68C4D40}" name="x_cr(m)" dataDxfId="1">
      <calculatedColumnFormula array="1">fxcr(Vx0,coef_Arrasto,Tabela1[[#This Row],[tempo(s)]])</calculatedColumnFormula>
    </tableColumn>
    <tableColumn id="3" xr3:uid="{8667D38D-383D-46F3-ABB7-BC25001AF267}" name="y_cr(m)" dataDxfId="0">
      <calculatedColumnFormula array="1">fYcr(Vy0,coef_Arrasto,g_m_s2,Tabela1[[#This Row],[tempo(s)]])</calculatedColumnFormula>
    </tableColumn>
    <tableColumn id="4" xr3:uid="{AF5241F1-6564-4AC2-A2B2-7D64B4112F3B}" name="x_sr(m)" dataDxfId="2">
      <calculatedColumnFormula array="1">fXsr(Vx0,Tabela1[[#This Row],[tempo(s)]])</calculatedColumnFormula>
    </tableColumn>
    <tableColumn id="5" xr3:uid="{889AFDA2-DBDF-483C-85C7-CAEA4961A47A}" name="y_sr(m)" dataDxfId="3">
      <calculatedColumnFormula array="1">fYsr(Vy0,g_m_s2,Tabela1[[#This Row],[tempo(s)]])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E7"/>
  <sheetViews>
    <sheetView showGridLines="0" tabSelected="1" workbookViewId="0">
      <selection activeCell="B2" sqref="B2:B3"/>
    </sheetView>
  </sheetViews>
  <sheetFormatPr defaultRowHeight="15" x14ac:dyDescent="0.25"/>
  <cols>
    <col min="1" max="1" width="11.7109375" bestFit="1" customWidth="1"/>
    <col min="3" max="3" width="12.7109375" bestFit="1" customWidth="1"/>
    <col min="5" max="5" width="9.42578125" bestFit="1" customWidth="1"/>
  </cols>
  <sheetData>
    <row r="1" spans="1:5" ht="16.5" thickTop="1" thickBot="1" x14ac:dyDescent="0.3">
      <c r="A1" s="11" t="s">
        <v>0</v>
      </c>
      <c r="B1" s="12"/>
      <c r="D1" s="13" t="s">
        <v>1</v>
      </c>
      <c r="E1" s="14"/>
    </row>
    <row r="2" spans="1:5" ht="15.75" thickTop="1" x14ac:dyDescent="0.25">
      <c r="A2" s="1" t="s">
        <v>2</v>
      </c>
      <c r="B2" s="21" t="s">
        <v>19</v>
      </c>
      <c r="D2" s="7" t="s">
        <v>3</v>
      </c>
      <c r="E2" s="8">
        <f>V0_m_s*COS(RADIANS(Theta_°))</f>
        <v>10.000000000000002</v>
      </c>
    </row>
    <row r="3" spans="1:5" ht="15.75" thickBot="1" x14ac:dyDescent="0.3">
      <c r="A3" s="2" t="s">
        <v>4</v>
      </c>
      <c r="B3" s="21" t="s">
        <v>20</v>
      </c>
      <c r="D3" s="9" t="s">
        <v>5</v>
      </c>
      <c r="E3" s="10">
        <f>V0_m_s*SIN(RADIANS(Theta_°))</f>
        <v>17.320508075688771</v>
      </c>
    </row>
    <row r="4" spans="1:5" ht="18" thickTop="1" x14ac:dyDescent="0.25">
      <c r="A4" s="2" t="s">
        <v>6</v>
      </c>
      <c r="B4" s="21" t="s">
        <v>16</v>
      </c>
    </row>
    <row r="5" spans="1:5" x14ac:dyDescent="0.25">
      <c r="A5" s="2" t="s">
        <v>7</v>
      </c>
      <c r="B5" s="21" t="s">
        <v>18</v>
      </c>
    </row>
    <row r="6" spans="1:5" ht="15.75" thickBot="1" x14ac:dyDescent="0.3">
      <c r="A6" s="3" t="s">
        <v>8</v>
      </c>
      <c r="B6" s="22" t="s">
        <v>17</v>
      </c>
    </row>
    <row r="7" spans="1:5" ht="15.75" thickTop="1" x14ac:dyDescent="0.25"/>
  </sheetData>
  <sheetProtection sheet="1" objects="1" scenarios="1"/>
  <protectedRanges>
    <protectedRange sqref="B2:B6" name="dadosEntrada"/>
  </protectedRanges>
  <dataConsolidate/>
  <mergeCells count="2">
    <mergeCell ref="A1:B1"/>
    <mergeCell ref="D1:E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fmrFormulario" altText="Entrada de Dados">
                <anchor moveWithCells="1" sizeWithCells="1">
                  <from>
                    <xdr:col>6</xdr:col>
                    <xdr:colOff>9525</xdr:colOff>
                    <xdr:row>0</xdr:row>
                    <xdr:rowOff>19050</xdr:rowOff>
                  </from>
                  <to>
                    <xdr:col>8</xdr:col>
                    <xdr:colOff>323850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7A329-B6DE-4663-B400-B2741E1E78E5}">
  <sheetPr codeName="Planilha2"/>
  <dimension ref="A1:G91"/>
  <sheetViews>
    <sheetView workbookViewId="0">
      <selection activeCell="C4" sqref="C4"/>
    </sheetView>
  </sheetViews>
  <sheetFormatPr defaultRowHeight="15" x14ac:dyDescent="0.25"/>
  <cols>
    <col min="1" max="5" width="12.5703125" bestFit="1" customWidth="1"/>
  </cols>
  <sheetData>
    <row r="1" spans="1:7" x14ac:dyDescent="0.25">
      <c r="B1" s="15" t="s">
        <v>9</v>
      </c>
      <c r="C1" s="15"/>
      <c r="D1" s="16" t="s">
        <v>10</v>
      </c>
      <c r="E1" s="16"/>
    </row>
    <row r="2" spans="1:7" x14ac:dyDescent="0.25">
      <c r="A2" s="4" t="s">
        <v>11</v>
      </c>
      <c r="B2" s="5" t="s">
        <v>12</v>
      </c>
      <c r="C2" s="6" t="s">
        <v>13</v>
      </c>
      <c r="D2" s="5" t="s">
        <v>14</v>
      </c>
      <c r="E2" s="6" t="s">
        <v>15</v>
      </c>
    </row>
    <row r="3" spans="1:7" x14ac:dyDescent="0.25">
      <c r="A3" s="17">
        <v>0</v>
      </c>
      <c r="B3" s="18" cm="1">
        <f t="array" ref="B3">fxcr(Vx0,coef_Arrasto,Tabela1[[#This Row],[tempo(s)]])</f>
        <v>0</v>
      </c>
      <c r="C3" s="19" cm="1">
        <f t="array" ref="C3">fYcr(Vy0,coef_Arrasto,g_m_s2,Tabela1[[#This Row],[tempo(s)]])</f>
        <v>0</v>
      </c>
      <c r="D3" s="18" cm="1">
        <f t="array" ref="D3">fXsr(Vx0,Tabela1[[#This Row],[tempo(s)]])</f>
        <v>0</v>
      </c>
      <c r="E3" s="19" cm="1">
        <f t="array" ref="E3">fYsr(Vy0,g_m_s2,Tabela1[[#This Row],[tempo(s)]])</f>
        <v>0</v>
      </c>
      <c r="G3" cm="1">
        <f t="array" ref="G3">fYcr(Vy0,coef_Arrasto,g_m_s2,0.04)</f>
        <v>0.67125244429124054</v>
      </c>
    </row>
    <row r="4" spans="1:7" x14ac:dyDescent="0.25">
      <c r="A4" s="20">
        <f>A3+Lançamento!B$6</f>
        <v>0.04</v>
      </c>
      <c r="B4" s="18" cm="1">
        <f t="array" ref="B4">fxcr(Vx0,coef_Arrasto,Tabela1[[#This Row],[tempo(s)]])</f>
        <v>0.39210560847676829</v>
      </c>
      <c r="C4" s="19" cm="1">
        <f t="array" ref="C4">fYcr(Vy0,coef_Arrasto,g_m_s2,Tabela1[[#This Row],[tempo(s)]])</f>
        <v>0.67125244429124054</v>
      </c>
      <c r="D4" s="18" cm="1">
        <f t="array" ref="D4">fXsr(Vx0,Tabela1[[#This Row],[tempo(s)]])</f>
        <v>0.40000000000000008</v>
      </c>
      <c r="E4" s="19" cm="1">
        <f t="array" ref="E4">fYsr(Vy0,g_m_s2,Tabela1[[#This Row],[tempo(s)]])</f>
        <v>0.6848203230275508</v>
      </c>
    </row>
    <row r="5" spans="1:7" x14ac:dyDescent="0.25">
      <c r="A5" s="20">
        <f>A4+Lançamento!B$6</f>
        <v>0.08</v>
      </c>
      <c r="B5" s="18" cm="1">
        <f t="array" ref="B5">fxcr(Vx0,coef_Arrasto,Tabela1[[#This Row],[tempo(s)]])</f>
        <v>0.76883653613364256</v>
      </c>
      <c r="C5" s="19" cm="1">
        <f t="array" ref="C5">fYcr(Vy0,coef_Arrasto,g_m_s2,Tabela1[[#This Row],[tempo(s)]])</f>
        <v>1.3005004794323758</v>
      </c>
      <c r="D5" s="18" cm="1">
        <f t="array" ref="D5">fXsr(Vx0,Tabela1[[#This Row],[tempo(s)]])</f>
        <v>0.80000000000000016</v>
      </c>
      <c r="E5" s="19" cm="1">
        <f t="array" ref="E5">fYsr(Vy0,g_m_s2,Tabela1[[#This Row],[tempo(s)]])</f>
        <v>1.3536406460551018</v>
      </c>
    </row>
    <row r="6" spans="1:7" x14ac:dyDescent="0.25">
      <c r="A6" s="20">
        <f>A5+Lançamento!B$6</f>
        <v>0.12</v>
      </c>
      <c r="B6" s="18" cm="1">
        <f t="array" ref="B6">fxcr(Vx0,coef_Arrasto,Tabela1[[#This Row],[tempo(s)]])</f>
        <v>1.1307956328284254</v>
      </c>
      <c r="C6" s="19" cm="1">
        <f t="array" ref="C6">fYcr(Vy0,coef_Arrasto,g_m_s2,Tabela1[[#This Row],[tempo(s)]])</f>
        <v>1.8893911218642587</v>
      </c>
      <c r="D6" s="18" cm="1">
        <f t="array" ref="D6">fXsr(Vx0,Tabela1[[#This Row],[tempo(s)]])</f>
        <v>1.2000000000000002</v>
      </c>
      <c r="E6" s="19" cm="1">
        <f t="array" ref="E6">fYsr(Vy0,g_m_s2,Tabela1[[#This Row],[tempo(s)]])</f>
        <v>2.0064609690826525</v>
      </c>
    </row>
    <row r="7" spans="1:7" x14ac:dyDescent="0.25">
      <c r="A7" s="20">
        <f>A6+Lançamento!B$6</f>
        <v>0.16</v>
      </c>
      <c r="B7" s="18" cm="1">
        <f t="array" ref="B7">fxcr(Vx0,coef_Arrasto,Tabela1[[#This Row],[tempo(s)]])</f>
        <v>1.4785621103378868</v>
      </c>
      <c r="C7" s="19" cm="1">
        <f t="array" ref="C7">fYcr(Vy0,coef_Arrasto,g_m_s2,Tabela1[[#This Row],[tempo(s)]])</f>
        <v>2.4395068075893662</v>
      </c>
      <c r="D7" s="18" cm="1">
        <f t="array" ref="D7">fXsr(Vx0,Tabela1[[#This Row],[tempo(s)]])</f>
        <v>1.6000000000000003</v>
      </c>
      <c r="E7" s="19" cm="1">
        <f t="array" ref="E7">fYsr(Vy0,g_m_s2,Tabela1[[#This Row],[tempo(s)]])</f>
        <v>2.6432812921102036</v>
      </c>
    </row>
    <row r="8" spans="1:7" x14ac:dyDescent="0.25">
      <c r="A8" s="20">
        <f>A7+Lançamento!B$6</f>
        <v>0.2</v>
      </c>
      <c r="B8" s="18" cm="1">
        <f t="array" ref="B8">fxcr(Vx0,coef_Arrasto,Tabela1[[#This Row],[tempo(s)]])</f>
        <v>1.812692469220182</v>
      </c>
      <c r="C8" s="19" cm="1">
        <f t="array" ref="C8">fYcr(Vy0,coef_Arrasto,g_m_s2,Tabela1[[#This Row],[tempo(s)]])</f>
        <v>2.95236792440702</v>
      </c>
      <c r="D8" s="18" cm="1">
        <f t="array" ref="D8">fXsr(Vx0,Tabela1[[#This Row],[tempo(s)]])</f>
        <v>2.0000000000000004</v>
      </c>
      <c r="E8" s="19" cm="1">
        <f t="array" ref="E8">fYsr(Vy0,g_m_s2,Tabela1[[#This Row],[tempo(s)]])</f>
        <v>3.2641016151377542</v>
      </c>
    </row>
    <row r="9" spans="1:7" x14ac:dyDescent="0.25">
      <c r="A9" s="20">
        <f>A8+Lançamento!B$6</f>
        <v>0.24000000000000002</v>
      </c>
      <c r="B9" s="18" cm="1">
        <f t="array" ref="B9">fxcr(Vx0,coef_Arrasto,Tabela1[[#This Row],[tempo(s)]])</f>
        <v>2.1337213893344669</v>
      </c>
      <c r="C9" s="19" cm="1">
        <f t="array" ref="C9">fYcr(Vy0,coef_Arrasto,g_m_s2,Tabela1[[#This Row],[tempo(s)]])</f>
        <v>3.4294352448582153</v>
      </c>
      <c r="D9" s="18" cm="1">
        <f t="array" ref="D9">fXsr(Vx0,Tabela1[[#This Row],[tempo(s)]])</f>
        <v>2.4000000000000008</v>
      </c>
      <c r="E9" s="19" cm="1">
        <f t="array" ref="E9">fYsr(Vy0,g_m_s2,Tabela1[[#This Row],[tempo(s)]])</f>
        <v>3.8689219381653053</v>
      </c>
    </row>
    <row r="10" spans="1:7" x14ac:dyDescent="0.25">
      <c r="A10" s="20">
        <f>A9+Lançamento!B$6</f>
        <v>0.28000000000000003</v>
      </c>
      <c r="B10" s="18" cm="1">
        <f t="array" ref="B10">fxcr(Vx0,coef_Arrasto,Tabela1[[#This Row],[tempo(s)]])</f>
        <v>2.4421625854427456</v>
      </c>
      <c r="C10" s="19" cm="1">
        <f t="array" ref="C10">fYcr(Vy0,coef_Arrasto,g_m_s2,Tabela1[[#This Row],[tempo(s)]])</f>
        <v>3.8721122637733489</v>
      </c>
      <c r="D10" s="18" cm="1">
        <f t="array" ref="D10">fXsr(Vx0,Tabela1[[#This Row],[tempo(s)]])</f>
        <v>2.8000000000000007</v>
      </c>
      <c r="E10" s="19" cm="1">
        <f t="array" ref="E10">fYsr(Vy0,g_m_s2,Tabela1[[#This Row],[tempo(s)]])</f>
        <v>4.4577422611928563</v>
      </c>
    </row>
    <row r="11" spans="1:7" x14ac:dyDescent="0.25">
      <c r="A11" s="20">
        <f>A10+Lançamento!B$6</f>
        <v>0.32</v>
      </c>
      <c r="B11" s="18" cm="1">
        <f t="array" ref="B11">fxcr(Vx0,coef_Arrasto,Tabela1[[#This Row],[tempo(s)]])</f>
        <v>2.738509629263091</v>
      </c>
      <c r="C11" s="19" cm="1">
        <f t="array" ref="C11">fYcr(Vy0,coef_Arrasto,g_m_s2,Tabela1[[#This Row],[tempo(s)]])</f>
        <v>4.2817474441633729</v>
      </c>
      <c r="D11" s="18" cm="1">
        <f t="array" ref="D11">fXsr(Vx0,Tabela1[[#This Row],[tempo(s)]])</f>
        <v>3.2000000000000006</v>
      </c>
      <c r="E11" s="19" cm="1">
        <f t="array" ref="E11">fYsr(Vy0,g_m_s2,Tabela1[[#This Row],[tempo(s)]])</f>
        <v>5.0305625842204069</v>
      </c>
    </row>
    <row r="12" spans="1:7" x14ac:dyDescent="0.25">
      <c r="A12" s="20">
        <f>A11+Lançamento!B$6</f>
        <v>0.36</v>
      </c>
      <c r="B12" s="18" cm="1">
        <f t="array" ref="B12">fxcr(Vx0,coef_Arrasto,Tabela1[[#This Row],[tempo(s)]])</f>
        <v>3.0232367392896902</v>
      </c>
      <c r="C12" s="19" cm="1">
        <f t="array" ref="C12">fYcr(Vy0,coef_Arrasto,g_m_s2,Tabela1[[#This Row],[tempo(s)]])</f>
        <v>4.6596363750482954</v>
      </c>
      <c r="D12" s="18" cm="1">
        <f t="array" ref="D12">fXsr(Vx0,Tabela1[[#This Row],[tempo(s)]])</f>
        <v>3.6000000000000005</v>
      </c>
      <c r="E12" s="19" cm="1">
        <f t="array" ref="E12">fYsr(Vy0,g_m_s2,Tabela1[[#This Row],[tempo(s)]])</f>
        <v>5.5873829072479575</v>
      </c>
    </row>
    <row r="13" spans="1:7" x14ac:dyDescent="0.25">
      <c r="A13" s="20">
        <f>A12+Lançamento!B$6</f>
        <v>0.39999999999999997</v>
      </c>
      <c r="B13" s="18" cm="1">
        <f t="array" ref="B13">fxcr(Vx0,coef_Arrasto,Tabela1[[#This Row],[tempo(s)]])</f>
        <v>3.2967995396436072</v>
      </c>
      <c r="C13" s="19" cm="1">
        <f t="array" ref="C13">fYcr(Vy0,coef_Arrasto,g_m_s2,Tabela1[[#This Row],[tempo(s)]])</f>
        <v>5.0070238446760182</v>
      </c>
      <c r="D13" s="18" cm="1">
        <f t="array" ref="D13">fXsr(Vx0,Tabela1[[#This Row],[tempo(s)]])</f>
        <v>4</v>
      </c>
      <c r="E13" s="19" cm="1">
        <f t="array" ref="E13">fYsr(Vy0,g_m_s2,Tabela1[[#This Row],[tempo(s)]])</f>
        <v>6.1282032302755081</v>
      </c>
    </row>
    <row r="14" spans="1:7" x14ac:dyDescent="0.25">
      <c r="A14" s="20">
        <f>A13+Lançamento!B$6</f>
        <v>0.43999999999999995</v>
      </c>
      <c r="B14" s="18" cm="1">
        <f t="array" ref="B14">fxcr(Vx0,coef_Arrasto,Tabela1[[#This Row],[tempo(s)]])</f>
        <v>3.5596357891685866</v>
      </c>
      <c r="C14" s="19" cm="1">
        <f t="array" ref="C14">fYcr(Vy0,coef_Arrasto,g_m_s2,Tabela1[[#This Row],[tempo(s)]])</f>
        <v>5.3251058324491121</v>
      </c>
      <c r="D14" s="18" cm="1">
        <f t="array" ref="D14">fXsr(Vx0,Tabela1[[#This Row],[tempo(s)]])</f>
        <v>4.4000000000000004</v>
      </c>
      <c r="E14" s="19" cm="1">
        <f t="array" ref="E14">fYsr(Vy0,g_m_s2,Tabela1[[#This Row],[tempo(s)]])</f>
        <v>6.6530235533030586</v>
      </c>
    </row>
    <row r="15" spans="1:7" x14ac:dyDescent="0.25">
      <c r="A15" s="20">
        <f>A14+Lançamento!B$6</f>
        <v>0.47999999999999993</v>
      </c>
      <c r="B15" s="18" cm="1">
        <f t="array" ref="B15">fxcr(Vx0,coef_Arrasto,Tabela1[[#This Row],[tempo(s)]])</f>
        <v>3.8121660819385914</v>
      </c>
      <c r="C15" s="19" cm="1">
        <f t="array" ref="C15">fYcr(Vy0,coef_Arrasto,g_m_s2,Tabela1[[#This Row],[tempo(s)]])</f>
        <v>5.6150314227470091</v>
      </c>
      <c r="D15" s="18" cm="1">
        <f t="array" ref="D15">fXsr(Vx0,Tabela1[[#This Row],[tempo(s)]])</f>
        <v>4.8</v>
      </c>
      <c r="E15" s="19" cm="1">
        <f t="array" ref="E15">fYsr(Vy0,g_m_s2,Tabela1[[#This Row],[tempo(s)]])</f>
        <v>7.1618438763306091</v>
      </c>
    </row>
    <row r="16" spans="1:7" x14ac:dyDescent="0.25">
      <c r="A16" s="20">
        <f>A15+Lançamento!B$6</f>
        <v>0.51999999999999991</v>
      </c>
      <c r="B16" s="18" cm="1">
        <f t="array" ref="B16">fxcr(Vx0,coef_Arrasto,Tabela1[[#This Row],[tempo(s)]])</f>
        <v>4.0547945202980573</v>
      </c>
      <c r="C16" s="19" cm="1">
        <f t="array" ref="C16">fYcr(Vy0,coef_Arrasto,g_m_s2,Tabela1[[#This Row],[tempo(s)]])</f>
        <v>5.8779046437061631</v>
      </c>
      <c r="D16" s="18" cm="1">
        <f t="array" ref="D16">fXsr(Vx0,Tabela1[[#This Row],[tempo(s)]])</f>
        <v>5.2</v>
      </c>
      <c r="E16" s="19" cm="1">
        <f t="array" ref="E16">fYsr(Vy0,g_m_s2,Tabela1[[#This Row],[tempo(s)]])</f>
        <v>7.6546641993581597</v>
      </c>
    </row>
    <row r="17" spans="1:5" x14ac:dyDescent="0.25">
      <c r="A17" s="20">
        <f>A16+Lançamento!B$6</f>
        <v>0.55999999999999994</v>
      </c>
      <c r="B17" s="18" cm="1">
        <f t="array" ref="B17">fxcr(Vx0,coef_Arrasto,Tabela1[[#This Row],[tempo(s)]])</f>
        <v>4.2879093615118524</v>
      </c>
      <c r="C17" s="19" cm="1">
        <f t="array" ref="C17">fYcr(Vy0,coef_Arrasto,g_m_s2,Tabela1[[#This Row],[tempo(s)]])</f>
        <v>6.1147862339006025</v>
      </c>
      <c r="D17" s="18" cm="1">
        <f t="array" ref="D17">fXsr(Vx0,Tabela1[[#This Row],[tempo(s)]])</f>
        <v>5.6000000000000005</v>
      </c>
      <c r="E17" s="19" cm="1">
        <f t="array" ref="E17">fYsr(Vy0,g_m_s2,Tabela1[[#This Row],[tempo(s)]])</f>
        <v>8.131484522385712</v>
      </c>
    </row>
    <row r="18" spans="1:5" x14ac:dyDescent="0.25">
      <c r="A18" s="20">
        <f>A17+Lançamento!B$6</f>
        <v>0.6</v>
      </c>
      <c r="B18" s="18" cm="1">
        <f t="array" ref="B18">fxcr(Vx0,coef_Arrasto,Tabela1[[#This Row],[tempo(s)]])</f>
        <v>4.5118836390597359</v>
      </c>
      <c r="C18" s="19" cm="1">
        <f t="array" ref="C18">fYcr(Vy0,coef_Arrasto,g_m_s2,Tabela1[[#This Row],[tempo(s)]])</f>
        <v>6.3266953397499535</v>
      </c>
      <c r="D18" s="18" cm="1">
        <f t="array" ref="D18">fXsr(Vx0,Tabela1[[#This Row],[tempo(s)]])</f>
        <v>6.0000000000000009</v>
      </c>
      <c r="E18" s="19" cm="1">
        <f t="array" ref="E18">fYsr(Vy0,g_m_s2,Tabela1[[#This Row],[tempo(s)]])</f>
        <v>8.5923048454132616</v>
      </c>
    </row>
    <row r="19" spans="1:5" x14ac:dyDescent="0.25">
      <c r="A19" s="20">
        <f>A18+Lançamento!B$6</f>
        <v>0.64</v>
      </c>
      <c r="B19" s="18" cm="1">
        <f t="array" ref="B19">fxcr(Vx0,coef_Arrasto,Tabela1[[#This Row],[tempo(s)]])</f>
        <v>4.727075759569515</v>
      </c>
      <c r="C19" s="19" cm="1">
        <f t="array" ref="C19">fYcr(Vy0,coef_Arrasto,g_m_s2,Tabela1[[#This Row],[tempo(s)]])</f>
        <v>6.5146111463711556</v>
      </c>
      <c r="D19" s="18" cm="1">
        <f t="array" ref="D19">fXsr(Vx0,Tabela1[[#This Row],[tempo(s)]])</f>
        <v>6.4000000000000012</v>
      </c>
      <c r="E19" s="19" cm="1">
        <f t="array" ref="E19">fYsr(Vy0,g_m_s2,Tabela1[[#This Row],[tempo(s)]])</f>
        <v>9.0371251684408129</v>
      </c>
    </row>
    <row r="20" spans="1:5" x14ac:dyDescent="0.25">
      <c r="A20" s="20">
        <f>A19+Lançamento!B$6</f>
        <v>0.68</v>
      </c>
      <c r="B20" s="18" cm="1">
        <f t="array" ref="B20">fxcr(Vx0,coef_Arrasto,Tabela1[[#This Row],[tempo(s)]])</f>
        <v>4.9338300763441056</v>
      </c>
      <c r="C20" s="19" cm="1">
        <f t="array" ref="C20">fYcr(Vy0,coef_Arrasto,g_m_s2,Tabela1[[#This Row],[tempo(s)]])</f>
        <v>6.6794744444835246</v>
      </c>
      <c r="D20" s="18" cm="1">
        <f t="array" ref="D20">fXsr(Vx0,Tabela1[[#This Row],[tempo(s)]])</f>
        <v>6.8000000000000016</v>
      </c>
      <c r="E20" s="19" cm="1">
        <f t="array" ref="E20">fYsr(Vy0,g_m_s2,Tabela1[[#This Row],[tempo(s)]])</f>
        <v>9.4659454914683643</v>
      </c>
    </row>
    <row r="21" spans="1:5" x14ac:dyDescent="0.25">
      <c r="A21" s="20">
        <f>A20+Lançamento!B$6</f>
        <v>0.72000000000000008</v>
      </c>
      <c r="B21" s="18" cm="1">
        <f t="array" ref="B21">fxcr(Vx0,coef_Arrasto,Tabela1[[#This Row],[tempo(s)]])</f>
        <v>5.1324774404002849</v>
      </c>
      <c r="C21" s="19" cm="1">
        <f t="array" ref="C21">fYcr(Vy0,coef_Arrasto,g_m_s2,Tabela1[[#This Row],[tempo(s)]])</f>
        <v>6.8221891358746376</v>
      </c>
      <c r="D21" s="18" cm="1">
        <f t="array" ref="D21">fXsr(Vx0,Tabela1[[#This Row],[tempo(s)]])</f>
        <v>7.200000000000002</v>
      </c>
      <c r="E21" s="19" cm="1">
        <f t="array" ref="E21">fYsr(Vy0,g_m_s2,Tabela1[[#This Row],[tempo(s)]])</f>
        <v>9.8787658144959156</v>
      </c>
    </row>
    <row r="22" spans="1:5" x14ac:dyDescent="0.25">
      <c r="A22" s="20">
        <f>A21+Lançamento!B$6</f>
        <v>0.76000000000000012</v>
      </c>
      <c r="B22" s="18" cm="1">
        <f t="array" ref="B22">fxcr(Vx0,coef_Arrasto,Tabela1[[#This Row],[tempo(s)]])</f>
        <v>5.3233357299009088</v>
      </c>
      <c r="C22" s="19" cm="1">
        <f t="array" ref="C22">fYcr(Vy0,coef_Arrasto,g_m_s2,Tabela1[[#This Row],[tempo(s)]])</f>
        <v>6.9436236798360333</v>
      </c>
      <c r="D22" s="18" cm="1">
        <f t="array" ref="D22">fXsr(Vx0,Tabela1[[#This Row],[tempo(s)]])</f>
        <v>7.6000000000000023</v>
      </c>
      <c r="E22" s="19" cm="1">
        <f t="array" ref="E22">fYsr(Vy0,g_m_s2,Tabela1[[#This Row],[tempo(s)]])</f>
        <v>10.275586137523467</v>
      </c>
    </row>
    <row r="23" spans="1:5" x14ac:dyDescent="0.25">
      <c r="A23" s="20">
        <f>A22+Lançamento!B$6</f>
        <v>0.80000000000000016</v>
      </c>
      <c r="B23" s="18" cm="1">
        <f t="array" ref="B23">fxcr(Vx0,coef_Arrasto,Tabela1[[#This Row],[tempo(s)]])</f>
        <v>5.5067103588277861</v>
      </c>
      <c r="C23" s="19" cm="1">
        <f t="array" ref="C23">fYcr(Vy0,coef_Arrasto,g_m_s2,Tabela1[[#This Row],[tempo(s)]])</f>
        <v>7.0446124828833483</v>
      </c>
      <c r="D23" s="18" cm="1">
        <f t="array" ref="D23">fXsr(Vx0,Tabela1[[#This Row],[tempo(s)]])</f>
        <v>8.0000000000000036</v>
      </c>
      <c r="E23" s="19" cm="1">
        <f t="array" ref="E23">fYsr(Vy0,g_m_s2,Tabela1[[#This Row],[tempo(s)]])</f>
        <v>10.656406460551018</v>
      </c>
    </row>
    <row r="24" spans="1:5" x14ac:dyDescent="0.25">
      <c r="A24" s="20">
        <f>A23+Lançamento!B$6</f>
        <v>0.84000000000000019</v>
      </c>
      <c r="B24" s="18" cm="1">
        <f t="array" ref="B24">fxcr(Vx0,coef_Arrasto,Tabela1[[#This Row],[tempo(s)]])</f>
        <v>5.6828947657092046</v>
      </c>
      <c r="C24" s="19" cm="1">
        <f t="array" ref="C24">fYcr(Vy0,coef_Arrasto,g_m_s2,Tabela1[[#This Row],[tempo(s)]])</f>
        <v>7.1259572339847708</v>
      </c>
      <c r="D24" s="18" cm="1">
        <f t="array" ref="D24">fXsr(Vx0,Tabela1[[#This Row],[tempo(s)]])</f>
        <v>8.4000000000000039</v>
      </c>
      <c r="E24" s="19" cm="1">
        <f t="array" ref="E24">fYsr(Vy0,g_m_s2,Tabela1[[#This Row],[tempo(s)]])</f>
        <v>11.02122678357857</v>
      </c>
    </row>
    <row r="25" spans="1:5" x14ac:dyDescent="0.25">
      <c r="A25" s="20">
        <f>A24+Lançamento!B$6</f>
        <v>0.88000000000000023</v>
      </c>
      <c r="B25" s="18" cm="1">
        <f t="array" ref="B25">fxcr(Vx0,coef_Arrasto,Tabela1[[#This Row],[tempo(s)]])</f>
        <v>5.8521708831841881</v>
      </c>
      <c r="C25" s="19" cm="1">
        <f t="array" ref="C25">fYcr(Vy0,coef_Arrasto,g_m_s2,Tabela1[[#This Row],[tempo(s)]])</f>
        <v>7.1884281874344236</v>
      </c>
      <c r="D25" s="18" cm="1">
        <f t="array" ref="D25">fXsr(Vx0,Tabela1[[#This Row],[tempo(s)]])</f>
        <v>8.8000000000000043</v>
      </c>
      <c r="E25" s="19" cm="1">
        <f t="array" ref="E25">fYsr(Vy0,g_m_s2,Tabela1[[#This Row],[tempo(s)]])</f>
        <v>11.370047106606121</v>
      </c>
    </row>
    <row r="26" spans="1:5" x14ac:dyDescent="0.25">
      <c r="A26" s="20">
        <f>A25+Lançamento!B$6</f>
        <v>0.92000000000000026</v>
      </c>
      <c r="B26" s="18" cm="1">
        <f t="array" ref="B26">fxcr(Vx0,coef_Arrasto,Tabela1[[#This Row],[tempo(s)]])</f>
        <v>6.0148095891548605</v>
      </c>
      <c r="C26" s="19" cm="1">
        <f t="array" ref="C26">fYcr(Vy0,coef_Arrasto,g_m_s2,Tabela1[[#This Row],[tempo(s)]])</f>
        <v>7.2327653954235558</v>
      </c>
      <c r="D26" s="18" cm="1">
        <f t="array" ref="D26">fXsr(Vx0,Tabela1[[#This Row],[tempo(s)]])</f>
        <v>9.2000000000000046</v>
      </c>
      <c r="E26" s="19" cm="1">
        <f t="array" ref="E26">fYsr(Vy0,g_m_s2,Tabela1[[#This Row],[tempo(s)]])</f>
        <v>11.702867429633672</v>
      </c>
    </row>
    <row r="27" spans="1:5" x14ac:dyDescent="0.25">
      <c r="A27" s="20">
        <f>A26+Lançamento!B$6</f>
        <v>0.9600000000000003</v>
      </c>
      <c r="B27" s="18" cm="1">
        <f t="array" ref="B27">fxcr(Vx0,coef_Arrasto,Tabela1[[#This Row],[tempo(s)]])</f>
        <v>6.1710711402488823</v>
      </c>
      <c r="C27" s="19" cm="1">
        <f t="array" ref="C27">fYcr(Vy0,coef_Arrasto,g_m_s2,Tabela1[[#This Row],[tempo(s)]])</f>
        <v>7.2596798922819428</v>
      </c>
      <c r="D27" s="18" cm="1">
        <f t="array" ref="D27">fXsr(Vx0,Tabela1[[#This Row],[tempo(s)]])</f>
        <v>9.600000000000005</v>
      </c>
      <c r="E27" s="19" cm="1">
        <f t="array" ref="E27">fYsr(Vy0,g_m_s2,Tabela1[[#This Row],[tempo(s)]])</f>
        <v>12.019687752661223</v>
      </c>
    </row>
    <row r="28" spans="1:5" x14ac:dyDescent="0.25">
      <c r="A28" s="20">
        <f>A27+Lançamento!B$6</f>
        <v>1.0000000000000002</v>
      </c>
      <c r="B28" s="18" cm="1">
        <f t="array" ref="B28">fxcr(Vx0,coef_Arrasto,Tabela1[[#This Row],[tempo(s)]])</f>
        <v>6.3212055882855793</v>
      </c>
      <c r="C28" s="19" cm="1">
        <f t="array" ref="C28">fYcr(Vy0,coef_Arrasto,g_m_s2,Tabela1[[#This Row],[tempo(s)]])</f>
        <v>7.2698548322845102</v>
      </c>
      <c r="D28" s="18" cm="1">
        <f t="array" ref="D28">fXsr(Vx0,Tabela1[[#This Row],[tempo(s)]])</f>
        <v>10.000000000000004</v>
      </c>
      <c r="E28" s="19" cm="1">
        <f t="array" ref="E28">fYsr(Vy0,g_m_s2,Tabela1[[#This Row],[tempo(s)]])</f>
        <v>12.320508075688773</v>
      </c>
    </row>
    <row r="29" spans="1:5" x14ac:dyDescent="0.25">
      <c r="A29" s="20">
        <f>A28+Lançamento!B$6</f>
        <v>1.0400000000000003</v>
      </c>
      <c r="B29" s="18" cm="1">
        <f t="array" ref="B29">fxcr(Vx0,coef_Arrasto,Tabela1[[#This Row],[tempo(s)]])</f>
        <v>6.4654531804122009</v>
      </c>
      <c r="C29" s="19" cm="1">
        <f t="array" ref="C29">fYcr(Vy0,coef_Arrasto,g_m_s2,Tabela1[[#This Row],[tempo(s)]])</f>
        <v>7.2639465828439107</v>
      </c>
      <c r="D29" s="18" cm="1">
        <f t="array" ref="D29">fXsr(Vx0,Tabela1[[#This Row],[tempo(s)]])</f>
        <v>10.400000000000004</v>
      </c>
      <c r="E29" s="19" cm="1">
        <f t="array" ref="E29">fYsr(Vy0,g_m_s2,Tabela1[[#This Row],[tempo(s)]])</f>
        <v>12.605328398716324</v>
      </c>
    </row>
    <row r="30" spans="1:5" x14ac:dyDescent="0.25">
      <c r="A30" s="20">
        <f>A29+Lançamento!B$6</f>
        <v>1.0800000000000003</v>
      </c>
      <c r="B30" s="18" cm="1">
        <f t="array" ref="B30">fxcr(Vx0,coef_Arrasto,Tabela1[[#This Row],[tempo(s)]])</f>
        <v>6.6040447435506104</v>
      </c>
      <c r="C30" s="19" cm="1">
        <f t="array" ref="C30">fYcr(Vy0,coef_Arrasto,g_m_s2,Tabela1[[#This Row],[tempo(s)]])</f>
        <v>7.2425857748384406</v>
      </c>
      <c r="D30" s="18" cm="1">
        <f t="array" ref="D30">fXsr(Vx0,Tabela1[[#This Row],[tempo(s)]])</f>
        <v>10.800000000000004</v>
      </c>
      <c r="E30" s="19" cm="1">
        <f t="array" ref="E30">fYsr(Vy0,g_m_s2,Tabela1[[#This Row],[tempo(s)]])</f>
        <v>12.874148721743875</v>
      </c>
    </row>
    <row r="31" spans="1:5" x14ac:dyDescent="0.25">
      <c r="A31" s="20">
        <f>A30+Lançamento!B$6</f>
        <v>1.1200000000000003</v>
      </c>
      <c r="B31" s="18" cm="1">
        <f t="array" ref="B31">fxcr(Vx0,coef_Arrasto,Tabela1[[#This Row],[tempo(s)]])</f>
        <v>6.7372020537696073</v>
      </c>
      <c r="C31" s="19" cm="1">
        <f t="array" ref="C31">fYcr(Vy0,coef_Arrasto,g_m_s2,Tabela1[[#This Row],[tempo(s)]])</f>
        <v>7.2063783117559481</v>
      </c>
      <c r="D31" s="18" cm="1">
        <f t="array" ref="D31">fXsr(Vx0,Tabela1[[#This Row],[tempo(s)]])</f>
        <v>11.200000000000005</v>
      </c>
      <c r="E31" s="19" cm="1">
        <f t="array" ref="E31">fYsr(Vy0,g_m_s2,Tabela1[[#This Row],[tempo(s)]])</f>
        <v>13.126969044771426</v>
      </c>
    </row>
    <row r="32" spans="1:5" x14ac:dyDescent="0.25">
      <c r="A32" s="20">
        <f>A31+Lançamento!B$6</f>
        <v>1.1600000000000004</v>
      </c>
      <c r="B32" s="18" cm="1">
        <f t="array" ref="B32">fxcr(Vx0,coef_Arrasto,Tabela1[[#This Row],[tempo(s)]])</f>
        <v>6.8651381911739486</v>
      </c>
      <c r="C32" s="19" cm="1">
        <f t="array" ref="C32">fYcr(Vy0,coef_Arrasto,g_m_s2,Tabela1[[#This Row],[tempo(s)]])</f>
        <v>7.1559063392687197</v>
      </c>
      <c r="D32" s="18" cm="1">
        <f t="array" ref="D32">fXsr(Vx0,Tabela1[[#This Row],[tempo(s)]])</f>
        <v>11.600000000000005</v>
      </c>
      <c r="E32" s="19" cm="1">
        <f t="array" ref="E32">fYsr(Vy0,g_m_s2,Tabela1[[#This Row],[tempo(s)]])</f>
        <v>13.363789367798976</v>
      </c>
    </row>
    <row r="33" spans="1:5" x14ac:dyDescent="0.25">
      <c r="A33" s="20">
        <f>A32+Lançamento!B$6</f>
        <v>1.2000000000000004</v>
      </c>
      <c r="B33" s="18" cm="1">
        <f t="array" ref="B33">fxcr(Vx0,coef_Arrasto,Tabela1[[#This Row],[tempo(s)]])</f>
        <v>6.9880578808779816</v>
      </c>
      <c r="C33" s="19" cm="1">
        <f t="array" ref="C33">fYcr(Vy0,coef_Arrasto,g_m_s2,Tabela1[[#This Row],[tempo(s)]])</f>
        <v>7.0917291767907393</v>
      </c>
      <c r="D33" s="18" cm="1">
        <f t="array" ref="D33">fXsr(Vx0,Tabela1[[#This Row],[tempo(s)]])</f>
        <v>12.000000000000005</v>
      </c>
      <c r="E33" s="19" cm="1">
        <f t="array" ref="E33">fYsr(Vy0,g_m_s2,Tabela1[[#This Row],[tempo(s)]])</f>
        <v>13.584609690826527</v>
      </c>
    </row>
    <row r="34" spans="1:5" x14ac:dyDescent="0.25">
      <c r="A34" s="20">
        <f>A33+Lançamento!B$6</f>
        <v>1.2400000000000004</v>
      </c>
      <c r="B34" s="18" cm="1">
        <f t="array" ref="B34">fxcr(Vx0,coef_Arrasto,Tabela1[[#This Row],[tempo(s)]])</f>
        <v>7.1061578206094964</v>
      </c>
      <c r="C34" s="19" cm="1">
        <f t="array" ref="C34">fYcr(Vy0,coef_Arrasto,g_m_s2,Tabela1[[#This Row],[tempo(s)]])</f>
        <v>7.0143842125080607</v>
      </c>
      <c r="D34" s="18" cm="1">
        <f t="array" ref="D34">fXsr(Vx0,Tabela1[[#This Row],[tempo(s)]])</f>
        <v>12.400000000000006</v>
      </c>
      <c r="E34" s="19" cm="1">
        <f t="array" ref="E34">fYsr(Vy0,g_m_s2,Tabela1[[#This Row],[tempo(s)]])</f>
        <v>13.789430013854078</v>
      </c>
    </row>
    <row r="35" spans="1:5" x14ac:dyDescent="0.25">
      <c r="A35" s="20">
        <f>A34+Lançamento!B$6</f>
        <v>1.2800000000000005</v>
      </c>
      <c r="B35" s="18" cm="1">
        <f t="array" ref="B35">fxcr(Vx0,coef_Arrasto,Tabela1[[#This Row],[tempo(s)]])</f>
        <v>7.2196269954680607</v>
      </c>
      <c r="C35" s="19" cm="1">
        <f t="array" ref="C35">fYcr(Vy0,coef_Arrasto,g_m_s2,Tabela1[[#This Row],[tempo(s)]])</f>
        <v>6.9243877633145772</v>
      </c>
      <c r="D35" s="18" cm="1">
        <f t="array" ref="D35">fXsr(Vx0,Tabela1[[#This Row],[tempo(s)]])</f>
        <v>12.800000000000008</v>
      </c>
      <c r="E35" s="19" cm="1">
        <f t="array" ref="E35">fYsr(Vy0,g_m_s2,Tabela1[[#This Row],[tempo(s)]])</f>
        <v>13.978250336881629</v>
      </c>
    </row>
    <row r="36" spans="1:5" x14ac:dyDescent="0.25">
      <c r="A36" s="20">
        <f>A35+Lançamento!B$6</f>
        <v>1.3200000000000005</v>
      </c>
      <c r="B36" s="18" cm="1">
        <f t="array" ref="B36">fxcr(Vx0,coef_Arrasto,Tabela1[[#This Row],[tempo(s)]])</f>
        <v>7.3286469803414986</v>
      </c>
      <c r="C36" s="19" cm="1">
        <f t="array" ref="C36">fYcr(Vy0,coef_Arrasto,g_m_s2,Tabela1[[#This Row],[tempo(s)]])</f>
        <v>6.8222359010291971</v>
      </c>
      <c r="D36" s="18" cm="1">
        <f t="array" ref="D36">fXsr(Vx0,Tabela1[[#This Row],[tempo(s)]])</f>
        <v>13.200000000000008</v>
      </c>
      <c r="E36" s="19" cm="1">
        <f t="array" ref="E36">fYsr(Vy0,g_m_s2,Tabela1[[#This Row],[tempo(s)]])</f>
        <v>14.15107065990918</v>
      </c>
    </row>
    <row r="37" spans="1:5" x14ac:dyDescent="0.25">
      <c r="A37" s="20">
        <f>A36+Lançamento!B$6</f>
        <v>1.3600000000000005</v>
      </c>
      <c r="B37" s="18" cm="1">
        <f t="array" ref="B37">fxcr(Vx0,coef_Arrasto,Tabela1[[#This Row],[tempo(s)]])</f>
        <v>7.4333922304644444</v>
      </c>
      <c r="C37" s="19" cm="1">
        <f t="array" ref="C37">fYcr(Vy0,coef_Arrasto,g_m_s2,Tabela1[[#This Row],[tempo(s)]])</f>
        <v>6.7084052462165928</v>
      </c>
      <c r="D37" s="18" cm="1">
        <f t="array" ref="D37">fXsr(Vx0,Tabela1[[#This Row],[tempo(s)]])</f>
        <v>13.600000000000009</v>
      </c>
      <c r="E37" s="19" cm="1">
        <f t="array" ref="E37">fYsr(Vy0,g_m_s2,Tabela1[[#This Row],[tempo(s)]])</f>
        <v>14.30789098293673</v>
      </c>
    </row>
    <row r="38" spans="1:5" x14ac:dyDescent="0.25">
      <c r="A38" s="20">
        <f>A37+Lançamento!B$6</f>
        <v>1.4000000000000006</v>
      </c>
      <c r="B38" s="18" cm="1">
        <f t="array" ref="B38">fxcr(Vx0,coef_Arrasto,Tabela1[[#This Row],[tempo(s)]])</f>
        <v>7.5340303605839383</v>
      </c>
      <c r="C38" s="19" cm="1">
        <f t="array" ref="C38">fYcr(Vy0,coef_Arrasto,g_m_s2,Tabela1[[#This Row],[tempo(s)]])</f>
        <v>6.5833537308817771</v>
      </c>
      <c r="D38" s="18" cm="1">
        <f t="array" ref="D38">fXsr(Vx0,Tabela1[[#This Row],[tempo(s)]])</f>
        <v>14.000000000000009</v>
      </c>
      <c r="E38" s="19" cm="1">
        <f t="array" ref="E38">fYsr(Vy0,g_m_s2,Tabela1[[#This Row],[tempo(s)]])</f>
        <v>14.448711305964281</v>
      </c>
    </row>
    <row r="39" spans="1:5" x14ac:dyDescent="0.25">
      <c r="A39" s="20">
        <f>A38+Lançamento!B$6</f>
        <v>1.4400000000000006</v>
      </c>
      <c r="B39" s="18" cm="1">
        <f t="array" ref="B39">fxcr(Vx0,coef_Arrasto,Tabela1[[#This Row],[tempo(s)]])</f>
        <v>7.630722413178785</v>
      </c>
      <c r="C39" s="19" cm="1">
        <f t="array" ref="C39">fYcr(Vy0,coef_Arrasto,g_m_s2,Tabela1[[#This Row],[tempo(s)]])</f>
        <v>6.4475213312590185</v>
      </c>
      <c r="D39" s="18" cm="1">
        <f t="array" ref="D39">fXsr(Vx0,Tabela1[[#This Row],[tempo(s)]])</f>
        <v>14.400000000000009</v>
      </c>
      <c r="E39" s="19" cm="1">
        <f t="array" ref="E39">fYsr(Vy0,g_m_s2,Tabela1[[#This Row],[tempo(s)]])</f>
        <v>14.573531628991832</v>
      </c>
    </row>
    <row r="40" spans="1:5" x14ac:dyDescent="0.25">
      <c r="A40" s="20">
        <f>A39+Lançamento!B$6</f>
        <v>1.4800000000000006</v>
      </c>
      <c r="B40" s="18" cm="1">
        <f t="array" ref="B40">fxcr(Vx0,coef_Arrasto,Tabela1[[#This Row],[tempo(s)]])</f>
        <v>7.7236231161618756</v>
      </c>
      <c r="C40" s="19" cm="1">
        <f t="array" ref="C40">fYcr(Vy0,coef_Arrasto,g_m_s2,Tabela1[[#This Row],[tempo(s)]])</f>
        <v>6.3013307718676881</v>
      </c>
      <c r="D40" s="18" cm="1">
        <f t="array" ref="D40">fXsr(Vx0,Tabela1[[#This Row],[tempo(s)]])</f>
        <v>14.80000000000001</v>
      </c>
      <c r="E40" s="19" cm="1">
        <f t="array" ref="E40">fYsr(Vy0,g_m_s2,Tabela1[[#This Row],[tempo(s)]])</f>
        <v>14.682351952019383</v>
      </c>
    </row>
    <row r="41" spans="1:5" x14ac:dyDescent="0.25">
      <c r="A41" s="20">
        <f>A40+Lançamento!B$6</f>
        <v>1.5200000000000007</v>
      </c>
      <c r="B41" s="18" cm="1">
        <f t="array" ref="B41">fxcr(Vx0,coef_Arrasto,Tabela1[[#This Row],[tempo(s)]])</f>
        <v>7.8128811304778552</v>
      </c>
      <c r="C41" s="19" cm="1">
        <f t="array" ref="C41">fYcr(Vy0,coef_Arrasto,g_m_s2,Tabela1[[#This Row],[tempo(s)]])</f>
        <v>6.1451882019616555</v>
      </c>
      <c r="D41" s="18" cm="1">
        <f t="array" ref="D41">fXsr(Vx0,Tabela1[[#This Row],[tempo(s)]])</f>
        <v>15.20000000000001</v>
      </c>
      <c r="E41" s="19" cm="1">
        <f t="array" ref="E41">fYsr(Vy0,g_m_s2,Tabela1[[#This Row],[tempo(s)]])</f>
        <v>14.775172275046934</v>
      </c>
    </row>
    <row r="42" spans="1:5" x14ac:dyDescent="0.25">
      <c r="A42" s="20">
        <f>A41+Lançamento!B$6</f>
        <v>1.5600000000000007</v>
      </c>
      <c r="B42" s="18" cm="1">
        <f t="array" ref="B42">fxcr(Vx0,coef_Arrasto,Tabela1[[#This Row],[tempo(s)]])</f>
        <v>7.8986392879923555</v>
      </c>
      <c r="C42" s="19" cm="1">
        <f t="array" ref="C42">fYcr(Vy0,coef_Arrasto,g_m_s2,Tabela1[[#This Row],[tempo(s)]])</f>
        <v>5.9794838454547641</v>
      </c>
      <c r="D42" s="18" cm="1">
        <f t="array" ref="D42">fXsr(Vx0,Tabela1[[#This Row],[tempo(s)]])</f>
        <v>15.60000000000001</v>
      </c>
      <c r="E42" s="19" cm="1">
        <f t="array" ref="E42">fYsr(Vy0,g_m_s2,Tabela1[[#This Row],[tempo(s)]])</f>
        <v>14.851992598074483</v>
      </c>
    </row>
    <row r="43" spans="1:5" x14ac:dyDescent="0.25">
      <c r="A43" s="20">
        <f>A42+Lançamento!B$6</f>
        <v>1.6000000000000008</v>
      </c>
      <c r="B43" s="18" cm="1">
        <f t="array" ref="B43">fxcr(Vx0,coef_Arrasto,Tabela1[[#This Row],[tempo(s)]])</f>
        <v>7.9810348200534493</v>
      </c>
      <c r="C43" s="19" cm="1">
        <f t="array" ref="C43">fYcr(Vy0,coef_Arrasto,g_m_s2,Tabela1[[#This Row],[tempo(s)]])</f>
        <v>5.8045926253623428</v>
      </c>
      <c r="D43" s="18" cm="1">
        <f t="array" ref="D43">fXsr(Vx0,Tabela1[[#This Row],[tempo(s)]])</f>
        <v>16.000000000000011</v>
      </c>
      <c r="E43" s="19" cm="1">
        <f t="array" ref="E43">fYsr(Vy0,g_m_s2,Tabela1[[#This Row],[tempo(s)]])</f>
        <v>14.912812921102034</v>
      </c>
    </row>
    <row r="44" spans="1:5" x14ac:dyDescent="0.25">
      <c r="A44" s="20">
        <f>A43+Lançamento!B$6</f>
        <v>1.6400000000000008</v>
      </c>
      <c r="B44" s="18" cm="1">
        <f t="array" ref="B44">fxcr(Vx0,coef_Arrasto,Tabela1[[#This Row],[tempo(s)]])</f>
        <v>8.0601995770910833</v>
      </c>
      <c r="C44" s="19" cm="1">
        <f t="array" ref="C44">fYcr(Vy0,coef_Arrasto,g_m_s2,Tabela1[[#This Row],[tempo(s)]])</f>
        <v>5.6208747637580068</v>
      </c>
      <c r="D44" s="18" cm="1">
        <f t="array" ref="D44">fXsr(Vx0,Tabela1[[#This Row],[tempo(s)]])</f>
        <v>16.400000000000009</v>
      </c>
      <c r="E44" s="19" cm="1">
        <f t="array" ref="E44">fYsr(Vy0,g_m_s2,Tabela1[[#This Row],[tempo(s)]])</f>
        <v>14.957633244129585</v>
      </c>
    </row>
    <row r="45" spans="1:5" x14ac:dyDescent="0.25">
      <c r="A45" s="20">
        <f>A44+Lançamento!B$6</f>
        <v>1.6800000000000008</v>
      </c>
      <c r="B45" s="18" cm="1">
        <f t="array" ref="B45">fxcr(Vx0,coef_Arrasto,Tabela1[[#This Row],[tempo(s)]])</f>
        <v>8.1362602396059032</v>
      </c>
      <c r="C45" s="19" cm="1">
        <f t="array" ref="C45">fYcr(Vy0,coef_Arrasto,g_m_s2,Tabela1[[#This Row],[tempo(s)]])</f>
        <v>5.4286763582058413</v>
      </c>
      <c r="D45" s="18" cm="1">
        <f t="array" ref="D45">fXsr(Vx0,Tabela1[[#This Row],[tempo(s)]])</f>
        <v>16.800000000000011</v>
      </c>
      <c r="E45" s="19" cm="1">
        <f t="array" ref="E45">fYsr(Vy0,g_m_s2,Tabela1[[#This Row],[tempo(s)]])</f>
        <v>14.986453567157136</v>
      </c>
    </row>
    <row r="46" spans="1:5" x14ac:dyDescent="0.25">
      <c r="A46" s="20">
        <f>A45+Lançamento!B$6</f>
        <v>1.7200000000000009</v>
      </c>
      <c r="B46" s="18" cm="1">
        <f t="array" ref="B46">fxcr(Vx0,coef_Arrasto,Tabela1[[#This Row],[tempo(s)]])</f>
        <v>8.2093385208850709</v>
      </c>
      <c r="C46" s="19" cm="1">
        <f t="array" ref="C46">fYcr(Vy0,coef_Arrasto,g_m_s2,Tabela1[[#This Row],[tempo(s)]])</f>
        <v>5.2283299355903345</v>
      </c>
      <c r="D46" s="18" cm="1">
        <f t="array" ref="D46">fXsr(Vx0,Tabela1[[#This Row],[tempo(s)]])</f>
        <v>17.20000000000001</v>
      </c>
      <c r="E46" s="19" cm="1">
        <f t="array" ref="E46">fYsr(Vy0,g_m_s2,Tabela1[[#This Row],[tempo(s)]])</f>
        <v>14.999273890184686</v>
      </c>
    </row>
    <row r="47" spans="1:5" x14ac:dyDescent="0.25">
      <c r="A47" s="20">
        <f>A46+Lançamento!B$6</f>
        <v>1.7600000000000009</v>
      </c>
      <c r="B47" s="18" cm="1">
        <f t="array" ref="B47">fxcr(Vx0,coef_Arrasto,Tabela1[[#This Row],[tempo(s)]])</f>
        <v>8.2795513617694976</v>
      </c>
      <c r="C47" s="19" cm="1">
        <f t="array" ref="C47">fYcr(Vy0,coef_Arrasto,g_m_s2,Tabela1[[#This Row],[tempo(s)]])</f>
        <v>5.0201549842303379</v>
      </c>
      <c r="D47" s="18" cm="1">
        <f t="array" ref="D47">fXsr(Vx0,Tabela1[[#This Row],[tempo(s)]])</f>
        <v>17.600000000000012</v>
      </c>
      <c r="E47" s="19" cm="1">
        <f t="array" ref="E47">fYsr(Vy0,g_m_s2,Tabela1[[#This Row],[tempo(s)]])</f>
        <v>14.996094213212237</v>
      </c>
    </row>
    <row r="48" spans="1:5" x14ac:dyDescent="0.25">
      <c r="A48" s="20">
        <f>A47+Lançamento!B$6</f>
        <v>1.8000000000000009</v>
      </c>
      <c r="B48" s="18" cm="1">
        <f t="array" ref="B48">fxcr(Vx0,coef_Arrasto,Tabela1[[#This Row],[tempo(s)]])</f>
        <v>8.3470111177841382</v>
      </c>
      <c r="C48" s="19" cm="1">
        <f t="array" ref="C48">fYcr(Vy0,coef_Arrasto,g_m_s2,Tabela1[[#This Row],[tempo(s)]])</f>
        <v>4.8044584651285334</v>
      </c>
      <c r="D48" s="18" cm="1">
        <f t="array" ref="D48">fXsr(Vx0,Tabela1[[#This Row],[tempo(s)]])</f>
        <v>18.000000000000014</v>
      </c>
      <c r="E48" s="19" cm="1">
        <f t="array" ref="E48">fYsr(Vy0,g_m_s2,Tabela1[[#This Row],[tempo(s)]])</f>
        <v>14.976914536239788</v>
      </c>
    </row>
    <row r="49" spans="1:5" x14ac:dyDescent="0.25">
      <c r="A49" s="20">
        <f>A48+Lançamento!B$6</f>
        <v>1.840000000000001</v>
      </c>
      <c r="B49" s="18" cm="1">
        <f t="array" ref="B49">fxcr(Vx0,coef_Arrasto,Tabela1[[#This Row],[tempo(s)]])</f>
        <v>8.411825738930796</v>
      </c>
      <c r="C49" s="19" cm="1">
        <f t="array" ref="C49">fYcr(Vy0,coef_Arrasto,g_m_s2,Tabela1[[#This Row],[tempo(s)]])</f>
        <v>4.5815353031745367</v>
      </c>
      <c r="D49" s="18" cm="1">
        <f t="array" ref="D49">fXsr(Vx0,Tabela1[[#This Row],[tempo(s)]])</f>
        <v>18.400000000000013</v>
      </c>
      <c r="E49" s="19" cm="1">
        <f t="array" ref="E49">fYsr(Vy0,g_m_s2,Tabela1[[#This Row],[tempo(s)]])</f>
        <v>14.941734859267338</v>
      </c>
    </row>
    <row r="50" spans="1:5" x14ac:dyDescent="0.25">
      <c r="A50" s="20">
        <f>A49+Lançamento!B$6</f>
        <v>1.880000000000001</v>
      </c>
      <c r="B50" s="18" cm="1">
        <f t="array" ref="B50">fxcr(Vx0,coef_Arrasto,Tabela1[[#This Row],[tempo(s)]])</f>
        <v>8.4740989424311639</v>
      </c>
      <c r="C50" s="19" cm="1">
        <f t="array" ref="C50">fYcr(Vy0,coef_Arrasto,g_m_s2,Tabela1[[#This Row],[tempo(s)]])</f>
        <v>4.3516688590876136</v>
      </c>
      <c r="D50" s="18" cm="1">
        <f t="array" ref="D50">fXsr(Vx0,Tabela1[[#This Row],[tempo(s)]])</f>
        <v>18.800000000000015</v>
      </c>
      <c r="E50" s="19" cm="1">
        <f t="array" ref="E50">fYsr(Vy0,g_m_s2,Tabela1[[#This Row],[tempo(s)]])</f>
        <v>14.890555182294888</v>
      </c>
    </row>
    <row r="51" spans="1:5" x14ac:dyDescent="0.25">
      <c r="A51" s="20">
        <f>A50+Lançamento!B$6</f>
        <v>1.920000000000001</v>
      </c>
      <c r="B51" s="18" cm="1">
        <f t="array" ref="B51">fxcr(Vx0,coef_Arrasto,Tabela1[[#This Row],[tempo(s)]])</f>
        <v>8.5339303786965015</v>
      </c>
      <c r="C51" s="19" cm="1">
        <f t="array" ref="C51">fYcr(Vy0,coef_Arrasto,g_m_s2,Tabela1[[#This Row],[tempo(s)]])</f>
        <v>4.1151313828543366</v>
      </c>
      <c r="D51" s="18" cm="1">
        <f t="array" ref="D51">fXsr(Vx0,Tabela1[[#This Row],[tempo(s)]])</f>
        <v>19.200000000000014</v>
      </c>
      <c r="E51" s="19" cm="1">
        <f t="array" ref="E51">fYsr(Vy0,g_m_s2,Tabela1[[#This Row],[tempo(s)]])</f>
        <v>14.823375505322439</v>
      </c>
    </row>
    <row r="52" spans="1:5" x14ac:dyDescent="0.25">
      <c r="A52" s="20">
        <f>A51+Lançamento!B$6</f>
        <v>1.9600000000000011</v>
      </c>
      <c r="B52" s="18" cm="1">
        <f t="array" ref="B52">fxcr(Vx0,coef_Arrasto,Tabela1[[#This Row],[tempo(s)]])</f>
        <v>8.5914157907895525</v>
      </c>
      <c r="C52" s="19" cm="1">
        <f t="array" ref="C52">fYcr(Vy0,coef_Arrasto,g_m_s2,Tabela1[[#This Row],[tempo(s)]])</f>
        <v>3.8721844493865838</v>
      </c>
      <c r="D52" s="18" cm="1">
        <f t="array" ref="D52">fXsr(Vx0,Tabela1[[#This Row],[tempo(s)]])</f>
        <v>19.600000000000016</v>
      </c>
      <c r="E52" s="19" cm="1">
        <f t="array" ref="E52">fYsr(Vy0,g_m_s2,Tabela1[[#This Row],[tempo(s)]])</f>
        <v>14.740195828349989</v>
      </c>
    </row>
    <row r="53" spans="1:5" x14ac:dyDescent="0.25">
      <c r="A53" s="20">
        <f>A52+Lançamento!B$6</f>
        <v>2.0000000000000009</v>
      </c>
      <c r="B53" s="18" cm="1">
        <f t="array" ref="B53">fxcr(Vx0,coef_Arrasto,Tabela1[[#This Row],[tempo(s)]])</f>
        <v>8.6466471676338763</v>
      </c>
      <c r="C53" s="19" cm="1">
        <f t="array" ref="C53">fYcr(Vy0,coef_Arrasto,g_m_s2,Tabela1[[#This Row],[tempo(s)]])</f>
        <v>3.6230793770972625</v>
      </c>
      <c r="D53" s="18" cm="1">
        <f t="array" ref="D53">fXsr(Vx0,Tabela1[[#This Row],[tempo(s)]])</f>
        <v>20.000000000000014</v>
      </c>
      <c r="E53" s="19" cm="1">
        <f t="array" ref="E53">fYsr(Vy0,g_m_s2,Tabela1[[#This Row],[tempo(s)]])</f>
        <v>14.64101615137754</v>
      </c>
    </row>
    <row r="54" spans="1:5" x14ac:dyDescent="0.25">
      <c r="A54" s="20">
        <f>A53+Lançamento!B$6</f>
        <v>2.0400000000000009</v>
      </c>
      <c r="B54" s="18" cm="1">
        <f t="array" ref="B54">fxcr(Vx0,coef_Arrasto,Tabela1[[#This Row],[tempo(s)]])</f>
        <v>8.6997128912157429</v>
      </c>
      <c r="C54" s="19" cm="1">
        <f t="array" ref="C54">fYcr(Vy0,coef_Arrasto,g_m_s2,Tabela1[[#This Row],[tempo(s)]])</f>
        <v>3.3680576300633298</v>
      </c>
      <c r="D54" s="18" cm="1">
        <f t="array" ref="D54">fXsr(Vx0,Tabela1[[#This Row],[tempo(s)]])</f>
        <v>20.400000000000013</v>
      </c>
      <c r="E54" s="19" cm="1">
        <f t="array" ref="E54">fYsr(Vy0,g_m_s2,Tabela1[[#This Row],[tempo(s)]])</f>
        <v>14.525836474405089</v>
      </c>
    </row>
    <row r="55" spans="1:5" x14ac:dyDescent="0.25">
      <c r="A55" s="20">
        <f>A54+Lançamento!B$6</f>
        <v>2.080000000000001</v>
      </c>
      <c r="B55" s="18" cm="1">
        <f t="array" ref="B55">fxcr(Vx0,coef_Arrasto,Tabela1[[#This Row],[tempo(s)]])</f>
        <v>8.7506978780141793</v>
      </c>
      <c r="C55" s="19" cm="1">
        <f t="array" ref="C55">fYcr(Vy0,coef_Arrasto,g_m_s2,Tabela1[[#This Row],[tempo(s)]])</f>
        <v>3.1073512044198814</v>
      </c>
      <c r="D55" s="18" cm="1">
        <f t="array" ref="D55">fXsr(Vx0,Tabela1[[#This Row],[tempo(s)]])</f>
        <v>20.800000000000015</v>
      </c>
      <c r="E55" s="19" cm="1">
        <f t="array" ref="E55">fYsr(Vy0,g_m_s2,Tabela1[[#This Row],[tempo(s)]])</f>
        <v>14.39465679743264</v>
      </c>
    </row>
    <row r="56" spans="1:5" x14ac:dyDescent="0.25">
      <c r="A56" s="20">
        <f>A55+Lançamento!B$6</f>
        <v>2.120000000000001</v>
      </c>
      <c r="B56" s="18" cm="1">
        <f t="array" ref="B56">fxcr(Vx0,coef_Arrasto,Tabela1[[#This Row],[tempo(s)]])</f>
        <v>8.7996837148854361</v>
      </c>
      <c r="C56" s="19" cm="1">
        <f t="array" ref="C56">fYcr(Vy0,coef_Arrasto,g_m_s2,Tabela1[[#This Row],[tempo(s)]])</f>
        <v>2.8411829996034363</v>
      </c>
      <c r="D56" s="18" cm="1">
        <f t="array" ref="D56">fXsr(Vx0,Tabela1[[#This Row],[tempo(s)]])</f>
        <v>21.200000000000014</v>
      </c>
      <c r="E56" s="19" cm="1">
        <f t="array" ref="E56">fYsr(Vy0,g_m_s2,Tabela1[[#This Row],[tempo(s)]])</f>
        <v>14.247477120460191</v>
      </c>
    </row>
    <row r="57" spans="1:5" x14ac:dyDescent="0.25">
      <c r="A57" s="20">
        <f>A56+Lançamento!B$6</f>
        <v>2.160000000000001</v>
      </c>
      <c r="B57" s="18" cm="1">
        <f t="array" ref="B57">fxcr(Vx0,coef_Arrasto,Tabela1[[#This Row],[tempo(s)]])</f>
        <v>8.8467487896193777</v>
      </c>
      <c r="C57" s="19" cm="1">
        <f t="array" ref="C57">fYcr(Vy0,coef_Arrasto,g_m_s2,Tabela1[[#This Row],[tempo(s)]])</f>
        <v>2.5697671750385958</v>
      </c>
      <c r="D57" s="18" cm="1">
        <f t="array" ref="D57">fXsr(Vx0,Tabela1[[#This Row],[tempo(s)]])</f>
        <v>21.600000000000016</v>
      </c>
      <c r="E57" s="19" cm="1">
        <f t="array" ref="E57">fYsr(Vy0,g_m_s2,Tabela1[[#This Row],[tempo(s)]])</f>
        <v>14.084297443487742</v>
      </c>
    </row>
    <row r="58" spans="1:5" x14ac:dyDescent="0.25">
      <c r="A58" s="20">
        <f>A57+Lançamento!B$6</f>
        <v>2.2000000000000011</v>
      </c>
      <c r="B58" s="18" cm="1">
        <f t="array" ref="B58">fxcr(Vx0,coef_Arrasto,Tabela1[[#This Row],[tempo(s)]])</f>
        <v>8.8919684163766632</v>
      </c>
      <c r="C58" s="19" cm="1">
        <f t="array" ref="C58">fYcr(Vy0,coef_Arrasto,g_m_s2,Tabela1[[#This Row],[tempo(s)]])</f>
        <v>2.293309492838798</v>
      </c>
      <c r="D58" s="18" cm="1">
        <f t="array" ref="D58">fXsr(Vx0,Tabela1[[#This Row],[tempo(s)]])</f>
        <v>22.000000000000014</v>
      </c>
      <c r="E58" s="19" cm="1">
        <f t="array" ref="E58">fYsr(Vy0,g_m_s2,Tabela1[[#This Row],[tempo(s)]])</f>
        <v>13.905117766515291</v>
      </c>
    </row>
    <row r="59" spans="1:5" x14ac:dyDescent="0.25">
      <c r="A59" s="20">
        <f>A58+Lançamento!B$6</f>
        <v>2.2400000000000011</v>
      </c>
      <c r="B59" s="18" cm="1">
        <f t="array" ref="B59">fxcr(Vx0,coef_Arrasto,Tabela1[[#This Row],[tempo(s)]])</f>
        <v>8.9354149562074738</v>
      </c>
      <c r="C59" s="19" cm="1">
        <f t="array" ref="C59">fYcr(Vy0,coef_Arrasto,g_m_s2,Tabela1[[#This Row],[tempo(s)]])</f>
        <v>2.012007647069634</v>
      </c>
      <c r="D59" s="18" cm="1">
        <f t="array" ref="D59">fXsr(Vx0,Tabela1[[#This Row],[tempo(s)]])</f>
        <v>22.400000000000016</v>
      </c>
      <c r="E59" s="19" cm="1">
        <f t="array" ref="E59">fYsr(Vy0,g_m_s2,Tabela1[[#This Row],[tempo(s)]])</f>
        <v>13.709938089542842</v>
      </c>
    </row>
    <row r="60" spans="1:5" x14ac:dyDescent="0.25">
      <c r="A60" s="20">
        <f>A59+Lançamento!B$6</f>
        <v>2.2800000000000011</v>
      </c>
      <c r="B60" s="18" cm="1">
        <f t="array" ref="B60">fxcr(Vx0,coef_Arrasto,Tabela1[[#This Row],[tempo(s)]])</f>
        <v>8.9771579328446283</v>
      </c>
      <c r="C60" s="19" cm="1">
        <f t="array" ref="C60">fYcr(Vy0,coef_Arrasto,g_m_s2,Tabela1[[#This Row],[tempo(s)]])</f>
        <v>1.7260515801015011</v>
      </c>
      <c r="D60" s="18" cm="1">
        <f t="array" ref="D60">fXsr(Vx0,Tabela1[[#This Row],[tempo(s)]])</f>
        <v>22.800000000000015</v>
      </c>
      <c r="E60" s="19" cm="1">
        <f t="array" ref="E60">fYsr(Vy0,g_m_s2,Tabela1[[#This Row],[tempo(s)]])</f>
        <v>13.498758412570393</v>
      </c>
    </row>
    <row r="61" spans="1:5" x14ac:dyDescent="0.25">
      <c r="A61" s="20">
        <f>A60+Lançamento!B$6</f>
        <v>2.3200000000000012</v>
      </c>
      <c r="B61" s="18" cm="1">
        <f t="array" ref="B61">fxcr(Vx0,coef_Arrasto,Tabela1[[#This Row],[tempo(s)]])</f>
        <v>9.0172641439563872</v>
      </c>
      <c r="C61" s="19" cm="1">
        <f t="array" ref="C61">fYcr(Vy0,coef_Arrasto,g_m_s2,Tabela1[[#This Row],[tempo(s)]])</f>
        <v>1.4356237865579153</v>
      </c>
      <c r="D61" s="18" cm="1">
        <f t="array" ref="D61">fXsr(Vx0,Tabela1[[#This Row],[tempo(s)]])</f>
        <v>23.200000000000017</v>
      </c>
      <c r="E61" s="19" cm="1">
        <f t="array" ref="E61">fYsr(Vy0,g_m_s2,Tabela1[[#This Row],[tempo(s)]])</f>
        <v>13.271578735597942</v>
      </c>
    </row>
    <row r="62" spans="1:5" x14ac:dyDescent="0.25">
      <c r="A62" s="20">
        <f>A61+Lançamento!B$6</f>
        <v>2.3600000000000012</v>
      </c>
      <c r="B62" s="18" cm="1">
        <f t="array" ref="B62">fxcr(Vx0,coef_Arrasto,Tabela1[[#This Row],[tempo(s)]])</f>
        <v>9.0557977680369799</v>
      </c>
      <c r="C62" s="19" cm="1">
        <f t="array" ref="C62">fYcr(Vy0,coef_Arrasto,g_m_s2,Tabela1[[#This Row],[tempo(s)]])</f>
        <v>1.1408996053458473</v>
      </c>
      <c r="D62" s="18" cm="1">
        <f t="array" ref="D62">fXsr(Vx0,Tabela1[[#This Row],[tempo(s)]])</f>
        <v>23.600000000000016</v>
      </c>
      <c r="E62" s="19" cm="1">
        <f t="array" ref="E62">fYsr(Vy0,g_m_s2,Tabela1[[#This Row],[tempo(s)]])</f>
        <v>13.028399058625492</v>
      </c>
    </row>
    <row r="63" spans="1:5" x14ac:dyDescent="0.25">
      <c r="A63" s="20">
        <f>A62+Lançamento!B$6</f>
        <v>2.4000000000000012</v>
      </c>
      <c r="B63" s="18" cm="1">
        <f t="array" ref="B63">fxcr(Vx0,coef_Arrasto,Tabela1[[#This Row],[tempo(s)]])</f>
        <v>9.0928204671058772</v>
      </c>
      <c r="C63" s="19" cm="1">
        <f t="array" ref="C63">fYcr(Vy0,coef_Arrasto,g_m_s2,Tabela1[[#This Row],[tempo(s)]])</f>
        <v>0.84204750023540953</v>
      </c>
      <c r="D63" s="18" cm="1">
        <f t="array" ref="D63">fXsr(Vx0,Tabela1[[#This Row],[tempo(s)]])</f>
        <v>24.000000000000018</v>
      </c>
      <c r="E63" s="19" cm="1">
        <f t="array" ref="E63">fYsr(Vy0,g_m_s2,Tabela1[[#This Row],[tempo(s)]])</f>
        <v>12.769219381653043</v>
      </c>
    </row>
    <row r="64" spans="1:5" x14ac:dyDescent="0.25">
      <c r="A64" s="20">
        <f>A63+Lançamento!B$6</f>
        <v>2.4400000000000013</v>
      </c>
      <c r="B64" s="18" cm="1">
        <f t="array" ref="B64">fxcr(Vx0,coef_Arrasto,Tabela1[[#This Row],[tempo(s)]])</f>
        <v>9.12839148538019</v>
      </c>
      <c r="C64" s="19" cm="1">
        <f t="array" ref="C64">fYcr(Vy0,coef_Arrasto,g_m_s2,Tabela1[[#This Row],[tempo(s)]])</f>
        <v>0.53922932943779145</v>
      </c>
      <c r="D64" s="18" cm="1">
        <f t="array" ref="D64">fXsr(Vx0,Tabela1[[#This Row],[tempo(s)]])</f>
        <v>24.400000000000016</v>
      </c>
      <c r="E64" s="19" cm="1">
        <f t="array" ref="E64">fYsr(Vy0,g_m_s2,Tabela1[[#This Row],[tempo(s)]])</f>
        <v>12.494039704680592</v>
      </c>
    </row>
    <row r="65" spans="1:5" x14ac:dyDescent="0.25">
      <c r="A65" s="20">
        <f>A64+Lançamento!B$6</f>
        <v>2.4800000000000013</v>
      </c>
      <c r="B65" s="18" cm="1">
        <f t="array" ref="B65">fxcr(Vx0,coef_Arrasto,Tabela1[[#This Row],[tempo(s)]])</f>
        <v>9.1625677440780429</v>
      </c>
      <c r="C65" s="19" cm="1">
        <f t="array" ref="C65">fYcr(Vy0,coef_Arrasto,g_m_s2,Tabela1[[#This Row],[tempo(s)]])</f>
        <v>0.23260060461294785</v>
      </c>
      <c r="D65" s="18" cm="1">
        <f t="array" ref="D65">fXsr(Vx0,Tabela1[[#This Row],[tempo(s)]])</f>
        <v>24.800000000000018</v>
      </c>
      <c r="E65" s="19" cm="1">
        <f t="array" ref="E65">fYsr(Vy0,g_m_s2,Tabela1[[#This Row],[tempo(s)]])</f>
        <v>12.202860027708143</v>
      </c>
    </row>
    <row r="66" spans="1:5" x14ac:dyDescent="0.25">
      <c r="A66" s="20">
        <f>A65+Lançamento!B$6</f>
        <v>2.5200000000000014</v>
      </c>
      <c r="B66" s="18" cm="1">
        <f t="array" ref="B66">fxcr(Vx0,coef_Arrasto,Tabela1[[#This Row],[tempo(s)]])</f>
        <v>9.1954039325046786</v>
      </c>
      <c r="C66" s="19" cm="1">
        <f t="array" ref="C66">fYcr(Vy0,coef_Arrasto,g_m_s2,Tabela1[[#This Row],[tempo(s)]])</f>
        <v>-7.768926027858214E-2</v>
      </c>
      <c r="D66" s="18" cm="1">
        <f t="array" ref="D66">fXsr(Vx0,Tabela1[[#This Row],[tempo(s)]])</f>
        <v>25.200000000000017</v>
      </c>
      <c r="E66" s="19" cm="1">
        <f t="array" ref="E66">fYsr(Vy0,g_m_s2,Tabela1[[#This Row],[tempo(s)]])</f>
        <v>11.895680350735692</v>
      </c>
    </row>
    <row r="67" spans="1:5" x14ac:dyDescent="0.25">
      <c r="A67" s="20">
        <f>A66+Lançamento!B$6</f>
        <v>2.5600000000000014</v>
      </c>
      <c r="B67" s="18" cm="1">
        <f t="array" ref="B67">fxcr(Vx0,coef_Arrasto,Tabela1[[#This Row],[tempo(s)]])</f>
        <v>9.2269525955670044</v>
      </c>
      <c r="C67" s="19" cm="1">
        <f t="array" ref="C67">fYcr(Vy0,coef_Arrasto,g_m_s2,Tabela1[[#This Row],[tempo(s)]])</f>
        <v>-0.39149670988143725</v>
      </c>
      <c r="D67" s="18" cm="1">
        <f t="array" ref="D67">fXsr(Vx0,Tabela1[[#This Row],[tempo(s)]])</f>
        <v>25.600000000000019</v>
      </c>
      <c r="E67" s="19" cm="1">
        <f t="array" ref="E67">fYsr(Vy0,g_m_s2,Tabela1[[#This Row],[tempo(s)]])</f>
        <v>11.572500673763242</v>
      </c>
    </row>
    <row r="68" spans="1:5" x14ac:dyDescent="0.25">
      <c r="A68" s="20">
        <f>A67+Lançamento!B$6</f>
        <v>2.6000000000000014</v>
      </c>
      <c r="B68" s="18" cm="1">
        <f t="array" ref="B68">fxcr(Vx0,coef_Arrasto,Tabela1[[#This Row],[tempo(s)]])</f>
        <v>9.2572642178566635</v>
      </c>
      <c r="C68" s="19" cm="1">
        <f t="array" ref="C68">fYcr(Vy0,coef_Arrasto,g_m_s2,Tabela1[[#This Row],[tempo(s)]])</f>
        <v>-0.70868381772625</v>
      </c>
      <c r="D68" s="18" cm="1">
        <f t="array" ref="D68">fXsr(Vx0,Tabela1[[#This Row],[tempo(s)]])</f>
        <v>26.000000000000018</v>
      </c>
      <c r="E68" s="19" cm="1">
        <f t="array" ref="E68">fYsr(Vy0,g_m_s2,Tabela1[[#This Row],[tempo(s)]])</f>
        <v>11.233320996790793</v>
      </c>
    </row>
    <row r="69" spans="1:5" x14ac:dyDescent="0.25">
      <c r="A69" s="20">
        <f>A68+Lançamento!B$6</f>
        <v>2.6400000000000015</v>
      </c>
      <c r="B69" s="18" cm="1">
        <f t="array" ref="B69">fxcr(Vx0,coef_Arrasto,Tabela1[[#This Row],[tempo(s)]])</f>
        <v>9.2863873044361416</v>
      </c>
      <c r="C69" s="19" cm="1">
        <f t="array" ref="C69">fYcr(Vy0,coef_Arrasto,g_m_s2,Tabela1[[#This Row],[tempo(s)]])</f>
        <v>-1.0291180655178884</v>
      </c>
      <c r="D69" s="18" cm="1">
        <f t="array" ref="D69">fXsr(Vx0,Tabela1[[#This Row],[tempo(s)]])</f>
        <v>26.40000000000002</v>
      </c>
      <c r="E69" s="19" cm="1">
        <f t="array" ref="E69">fYsr(Vy0,g_m_s2,Tabela1[[#This Row],[tempo(s)]])</f>
        <v>10.878141319818342</v>
      </c>
    </row>
    <row r="70" spans="1:5" x14ac:dyDescent="0.25">
      <c r="A70" s="20">
        <f>A69+Lançamento!B$6</f>
        <v>2.6800000000000015</v>
      </c>
      <c r="B70" s="18" cm="1">
        <f t="array" ref="B70">fxcr(Vx0,coef_Arrasto,Tabela1[[#This Row],[tempo(s)]])</f>
        <v>9.3143684584572242</v>
      </c>
      <c r="C70" s="19" cm="1">
        <f t="array" ref="C70">fYcr(Vy0,coef_Arrasto,g_m_s2,Tabela1[[#This Row],[tempo(s)]])</f>
        <v>-1.3526721310778846</v>
      </c>
      <c r="D70" s="18" cm="1">
        <f t="array" ref="D70">fXsr(Vx0,Tabela1[[#This Row],[tempo(s)]])</f>
        <v>26.800000000000018</v>
      </c>
      <c r="E70" s="19" cm="1">
        <f t="array" ref="E70">fYsr(Vy0,g_m_s2,Tabela1[[#This Row],[tempo(s)]])</f>
        <v>10.506961642845893</v>
      </c>
    </row>
    <row r="71" spans="1:5" x14ac:dyDescent="0.25">
      <c r="A71" s="20">
        <f>A70+Lançamento!B$6</f>
        <v>2.7200000000000015</v>
      </c>
      <c r="B71" s="18" cm="1">
        <f t="array" ref="B71">fxcr(Vx0,coef_Arrasto,Tabela1[[#This Row],[tempo(s)]])</f>
        <v>9.3412524557359724</v>
      </c>
      <c r="C71" s="19" cm="1">
        <f t="array" ref="C71">fYcr(Vy0,coef_Arrasto,g_m_s2,Tabela1[[#This Row],[tempo(s)]])</f>
        <v>-1.6792236846018014</v>
      </c>
      <c r="D71" s="18" cm="1">
        <f t="array" ref="D71">fXsr(Vx0,Tabela1[[#This Row],[tempo(s)]])</f>
        <v>27.200000000000021</v>
      </c>
      <c r="E71" s="19" cm="1">
        <f t="array" ref="E71">fYsr(Vy0,g_m_s2,Tabela1[[#This Row],[tempo(s)]])</f>
        <v>10.119781965873441</v>
      </c>
    </row>
    <row r="72" spans="1:5" x14ac:dyDescent="0.25">
      <c r="A72" s="20">
        <f>A71+Lançamento!B$6</f>
        <v>2.7600000000000016</v>
      </c>
      <c r="B72" s="18" cm="1">
        <f t="array" ref="B72">fxcr(Vx0,coef_Arrasto,Tabela1[[#This Row],[tempo(s)]])</f>
        <v>9.3670823164035948</v>
      </c>
      <c r="C72" s="19" cm="1">
        <f t="array" ref="C72">fYcr(Vy0,coef_Arrasto,g_m_s2,Tabela1[[#This Row],[tempo(s)]])</f>
        <v>-2.0086551929054259</v>
      </c>
      <c r="D72" s="18" cm="1">
        <f t="array" ref="D72">fXsr(Vx0,Tabela1[[#This Row],[tempo(s)]])</f>
        <v>27.600000000000019</v>
      </c>
      <c r="E72" s="19" cm="1">
        <f t="array" ref="E72">fYsr(Vy0,g_m_s2,Tabela1[[#This Row],[tempo(s)]])</f>
        <v>9.716602288900992</v>
      </c>
    </row>
    <row r="73" spans="1:5" x14ac:dyDescent="0.25">
      <c r="A73" s="20">
        <f>A72+Lançamento!B$6</f>
        <v>2.8000000000000016</v>
      </c>
      <c r="B73" s="18" cm="1">
        <f t="array" ref="B73">fxcr(Vx0,coef_Arrasto,Tabela1[[#This Row],[tempo(s)]])</f>
        <v>9.3918993737478225</v>
      </c>
      <c r="C73" s="19" cm="1">
        <f t="array" ref="C73">fYcr(Vy0,coef_Arrasto,g_m_s2,Tabela1[[#This Row],[tempo(s)]])</f>
        <v>-2.3408537313466482</v>
      </c>
      <c r="D73" s="18" cm="1">
        <f t="array" ref="D73">fXsr(Vx0,Tabela1[[#This Row],[tempo(s)]])</f>
        <v>28.000000000000021</v>
      </c>
      <c r="E73" s="19" cm="1">
        <f t="array" ref="E73">fYsr(Vy0,g_m_s2,Tabela1[[#This Row],[tempo(s)]])</f>
        <v>9.2974226119285426</v>
      </c>
    </row>
    <row r="74" spans="1:5" x14ac:dyDescent="0.25">
      <c r="A74" s="20">
        <f>A73+Lançamento!B$6</f>
        <v>2.8400000000000016</v>
      </c>
      <c r="B74" s="18" cm="1">
        <f t="array" ref="B74">fxcr(Vx0,coef_Arrasto,Tabela1[[#This Row],[tempo(s)]])</f>
        <v>9.4157433403549948</v>
      </c>
      <c r="C74" s="19" cm="1">
        <f t="array" ref="C74">fYcr(Vy0,coef_Arrasto,g_m_s2,Tabela1[[#This Row],[tempo(s)]])</f>
        <v>-2.6757108031218806</v>
      </c>
      <c r="D74" s="18" cm="1">
        <f t="array" ref="D74">fXsr(Vx0,Tabela1[[#This Row],[tempo(s)]])</f>
        <v>28.40000000000002</v>
      </c>
      <c r="E74" s="19" cm="1">
        <f t="array" ref="E74">fYsr(Vy0,g_m_s2,Tabela1[[#This Row],[tempo(s)]])</f>
        <v>8.8622429349560914</v>
      </c>
    </row>
    <row r="75" spans="1:5" x14ac:dyDescent="0.25">
      <c r="A75" s="20">
        <f>A74+Lançamento!B$6</f>
        <v>2.8800000000000017</v>
      </c>
      <c r="B75" s="18" cm="1">
        <f t="array" ref="B75">fxcr(Vx0,coef_Arrasto,Tabela1[[#This Row],[tempo(s)]])</f>
        <v>9.4386523716586659</v>
      </c>
      <c r="C75" s="19" cm="1">
        <f t="array" ref="C75">fYcr(Vy0,coef_Arrasto,g_m_s2,Tabela1[[#This Row],[tempo(s)]])</f>
        <v>-3.0131221656480704</v>
      </c>
      <c r="D75" s="18" cm="1">
        <f t="array" ref="D75">fXsr(Vx0,Tabela1[[#This Row],[tempo(s)]])</f>
        <v>28.800000000000022</v>
      </c>
      <c r="E75" s="19" cm="1">
        <f t="array" ref="E75">fYsr(Vy0,g_m_s2,Tabela1[[#This Row],[tempo(s)]])</f>
        <v>8.411063257983642</v>
      </c>
    </row>
    <row r="76" spans="1:5" x14ac:dyDescent="0.25">
      <c r="A76" s="20">
        <f>A75+Lançamento!B$6</f>
        <v>2.9200000000000017</v>
      </c>
      <c r="B76" s="18" cm="1">
        <f t="array" ref="B76">fxcr(Vx0,coef_Arrasto,Tabela1[[#This Row],[tempo(s)]])</f>
        <v>9.4606631269964421</v>
      </c>
      <c r="C76" s="19" cm="1">
        <f t="array" ref="C76">fYcr(Vy0,coef_Arrasto,g_m_s2,Tabela1[[#This Row],[tempo(s)]])</f>
        <v>-3.3529876637522946</v>
      </c>
      <c r="D76" s="18" cm="1">
        <f t="array" ref="D76">fXsr(Vx0,Tabela1[[#This Row],[tempo(s)]])</f>
        <v>29.200000000000021</v>
      </c>
      <c r="E76" s="19" cm="1">
        <f t="array" ref="E76">fYsr(Vy0,g_m_s2,Tabela1[[#This Row],[tempo(s)]])</f>
        <v>7.9438835810111907</v>
      </c>
    </row>
    <row r="77" spans="1:5" x14ac:dyDescent="0.25">
      <c r="A77" s="20">
        <f>A76+Lançamento!B$6</f>
        <v>2.9600000000000017</v>
      </c>
      <c r="B77" s="18" cm="1">
        <f t="array" ref="B77">fxcr(Vx0,coef_Arrasto,Tabela1[[#This Row],[tempo(s)]])</f>
        <v>9.481810828272744</v>
      </c>
      <c r="C77" s="19" cm="1">
        <f t="array" ref="C77">fYcr(Vy0,coef_Arrasto,g_m_s2,Tabela1[[#This Row],[tempo(s)]])</f>
        <v>-3.6952110694021449</v>
      </c>
      <c r="D77" s="18" cm="1">
        <f t="array" ref="D77">fXsr(Vx0,Tabela1[[#This Row],[tempo(s)]])</f>
        <v>29.600000000000023</v>
      </c>
      <c r="E77" s="19" cm="1">
        <f t="array" ref="E77">fYsr(Vy0,g_m_s2,Tabela1[[#This Row],[tempo(s)]])</f>
        <v>7.4607039040387413</v>
      </c>
    </row>
    <row r="78" spans="1:5" x14ac:dyDescent="0.25">
      <c r="A78" s="20">
        <f>A77+Lançamento!B$6</f>
        <v>3.0000000000000018</v>
      </c>
      <c r="B78" s="18" cm="1">
        <f t="array" ref="B78">fxcr(Vx0,coef_Arrasto,Tabela1[[#This Row],[tempo(s)]])</f>
        <v>9.5021293163213638</v>
      </c>
      <c r="C78" s="19" cm="1">
        <f t="array" ref="C78">fYcr(Vy0,coef_Arrasto,g_m_s2,Tabela1[[#This Row],[tempo(s)]])</f>
        <v>-4.0396999277203385</v>
      </c>
      <c r="D78" s="18" cm="1">
        <f t="array" ref="D78">fXsr(Vx0,Tabela1[[#This Row],[tempo(s)]])</f>
        <v>30.000000000000021</v>
      </c>
      <c r="E78" s="19" cm="1">
        <f t="array" ref="E78">fYsr(Vy0,g_m_s2,Tabela1[[#This Row],[tempo(s)]])</f>
        <v>6.9615242270662909</v>
      </c>
    </row>
    <row r="79" spans="1:5" x14ac:dyDescent="0.25">
      <c r="A79" s="20">
        <f>A78+Lançamento!B$6</f>
        <v>3.0400000000000018</v>
      </c>
      <c r="B79" s="18" cm="1">
        <f t="array" ref="B79">fxcr(Vx0,coef_Arrasto,Tabela1[[#This Row],[tempo(s)]])</f>
        <v>9.5216511050580195</v>
      </c>
      <c r="C79" s="19" cm="1">
        <f t="array" ref="C79">fYcr(Vy0,coef_Arrasto,g_m_s2,Tabela1[[#This Row],[tempo(s)]])</f>
        <v>-4.3863654090371718</v>
      </c>
      <c r="D79" s="18" cm="1">
        <f t="array" ref="D79">fXsr(Vx0,Tabela1[[#This Row],[tempo(s)]])</f>
        <v>30.400000000000023</v>
      </c>
      <c r="E79" s="19" cm="1">
        <f t="array" ref="E79">fYsr(Vy0,g_m_s2,Tabela1[[#This Row],[tempo(s)]])</f>
        <v>6.4463445500938406</v>
      </c>
    </row>
    <row r="80" spans="1:5" x14ac:dyDescent="0.25">
      <c r="A80" s="20">
        <f>A79+Lançamento!B$6</f>
        <v>3.0800000000000018</v>
      </c>
      <c r="B80" s="18" cm="1">
        <f t="array" ref="B80">fxcr(Vx0,coef_Arrasto,Tabela1[[#This Row],[tempo(s)]])</f>
        <v>9.5404074335095608</v>
      </c>
      <c r="C80" s="19" cm="1">
        <f t="array" ref="C80">fYcr(Vy0,coef_Arrasto,g_m_s2,Tabela1[[#This Row],[tempo(s)]])</f>
        <v>-4.7351221667441088</v>
      </c>
      <c r="D80" s="18" cm="1">
        <f t="array" ref="D80">fXsr(Vx0,Tabela1[[#This Row],[tempo(s)]])</f>
        <v>30.800000000000026</v>
      </c>
      <c r="E80" s="19" cm="1">
        <f t="array" ref="E80">fYsr(Vy0,g_m_s2,Tabela1[[#This Row],[tempo(s)]])</f>
        <v>5.9151648731213902</v>
      </c>
    </row>
    <row r="81" spans="1:5" x14ac:dyDescent="0.25">
      <c r="A81" s="20">
        <f>A80+Lançamento!B$6</f>
        <v>3.1200000000000019</v>
      </c>
      <c r="B81" s="18" cm="1">
        <f t="array" ref="B81">fxcr(Vx0,coef_Arrasto,Tabela1[[#This Row],[tempo(s)]])</f>
        <v>9.5584283158030736</v>
      </c>
      <c r="C81" s="19" cm="1">
        <f t="array" ref="C81">fYcr(Vy0,coef_Arrasto,g_m_s2,Tabela1[[#This Row],[tempo(s)]])</f>
        <v>-5.085888200721012</v>
      </c>
      <c r="D81" s="18" cm="1">
        <f t="array" ref="D81">fXsr(Vx0,Tabela1[[#This Row],[tempo(s)]])</f>
        <v>31.200000000000024</v>
      </c>
      <c r="E81" s="19" cm="1">
        <f t="array" ref="E81">fYsr(Vy0,g_m_s2,Tabela1[[#This Row],[tempo(s)]])</f>
        <v>5.3679851961489398</v>
      </c>
    </row>
    <row r="82" spans="1:5" x14ac:dyDescent="0.25">
      <c r="A82" s="20">
        <f>A81+Lançamento!B$6</f>
        <v>3.1600000000000019</v>
      </c>
      <c r="B82" s="18" cm="1">
        <f t="array" ref="B82">fxcr(Vx0,coef_Arrasto,Tabela1[[#This Row],[tempo(s)]])</f>
        <v>9.5757425891948884</v>
      </c>
      <c r="C82" s="19" cm="1">
        <f t="array" ref="C82">fYcr(Vy0,coef_Arrasto,g_m_s2,Tabela1[[#This Row],[tempo(s)]])</f>
        <v>-5.4385847261184388</v>
      </c>
      <c r="D82" s="18" cm="1">
        <f t="array" ref="D82">fXsr(Vx0,Tabela1[[#This Row],[tempo(s)]])</f>
        <v>31.600000000000026</v>
      </c>
      <c r="E82" s="19" cm="1">
        <f t="array" ref="E82">fYsr(Vy0,g_m_s2,Tabela1[[#This Row],[tempo(s)]])</f>
        <v>4.8048055191764893</v>
      </c>
    </row>
    <row r="83" spans="1:5" x14ac:dyDescent="0.25">
      <c r="A83" s="20">
        <f>A82+Lançamento!B$6</f>
        <v>3.200000000000002</v>
      </c>
      <c r="B83" s="18" cm="1">
        <f t="array" ref="B83">fxcr(Vx0,coef_Arrasto,Tabela1[[#This Row],[tempo(s)]])</f>
        <v>9.592377960216341</v>
      </c>
      <c r="C83" s="19" cm="1">
        <f t="array" ref="C83">fYcr(Vy0,coef_Arrasto,g_m_s2,Tabela1[[#This Row],[tempo(s)]])</f>
        <v>-5.7931360472850777</v>
      </c>
      <c r="D83" s="18" cm="1">
        <f t="array" ref="D83">fXsr(Vx0,Tabela1[[#This Row],[tempo(s)]])</f>
        <v>32.000000000000028</v>
      </c>
      <c r="E83" s="19" cm="1">
        <f t="array" ref="E83">fYsr(Vy0,g_m_s2,Tabela1[[#This Row],[tempo(s)]])</f>
        <v>4.2256258422040389</v>
      </c>
    </row>
    <row r="84" spans="1:5" x14ac:dyDescent="0.25">
      <c r="A84" s="20">
        <f>A83+Lançamento!B$6</f>
        <v>3.240000000000002</v>
      </c>
      <c r="B84" s="18" cm="1">
        <f t="array" ref="B84">fxcr(Vx0,coef_Arrasto,Tabela1[[#This Row],[tempo(s)]])</f>
        <v>9.6083610490101314</v>
      </c>
      <c r="C84" s="19" cm="1">
        <f t="array" ref="C84">fYcr(Vy0,coef_Arrasto,g_m_s2,Tabela1[[#This Row],[tempo(s)]])</f>
        <v>-6.1494694366385509</v>
      </c>
      <c r="D84" s="18" cm="1">
        <f t="array" ref="D84">fXsr(Vx0,Tabela1[[#This Row],[tempo(s)]])</f>
        <v>32.400000000000027</v>
      </c>
      <c r="E84" s="19" cm="1">
        <f t="array" ref="E84">fYsr(Vy0,g_m_s2,Tabela1[[#This Row],[tempo(s)]])</f>
        <v>3.630446165231588</v>
      </c>
    </row>
    <row r="85" spans="1:5" x14ac:dyDescent="0.25">
      <c r="A85" s="20">
        <f>A84+Lançamento!B$6</f>
        <v>3.280000000000002</v>
      </c>
      <c r="B85" s="18" cm="1">
        <f t="array" ref="B85">fxcr(Vx0,coef_Arrasto,Tabela1[[#This Row],[tempo(s)]])</f>
        <v>9.6237174319282399</v>
      </c>
      <c r="C85" s="19" cm="1">
        <f t="array" ref="C85">fYcr(Vy0,coef_Arrasto,g_m_s2,Tabela1[[#This Row],[tempo(s)]])</f>
        <v>-6.5075150182857939</v>
      </c>
      <c r="D85" s="18" cm="1">
        <f t="array" ref="D85">fXsr(Vx0,Tabela1[[#This Row],[tempo(s)]])</f>
        <v>32.800000000000026</v>
      </c>
      <c r="E85" s="19" cm="1">
        <f t="array" ref="E85">fYsr(Vy0,g_m_s2,Tabela1[[#This Row],[tempo(s)]])</f>
        <v>3.0192664882591376</v>
      </c>
    </row>
    <row r="86" spans="1:5" x14ac:dyDescent="0.25">
      <c r="A86" s="20">
        <f>A85+Lançamento!B$6</f>
        <v>3.3200000000000021</v>
      </c>
      <c r="B86" s="18" cm="1">
        <f t="array" ref="B86">fxcr(Vx0,coef_Arrasto,Tabela1[[#This Row],[tempo(s)]])</f>
        <v>9.6384716824595387</v>
      </c>
      <c r="C86" s="19" cm="1">
        <f t="array" ref="C86">fYcr(Vy0,coef_Arrasto,g_m_s2,Tabela1[[#This Row],[tempo(s)]])</f>
        <v>-6.8672056562066892</v>
      </c>
      <c r="D86" s="18" cm="1">
        <f t="array" ref="D86">fXsr(Vx0,Tabela1[[#This Row],[tempo(s)]])</f>
        <v>33.200000000000024</v>
      </c>
      <c r="E86" s="19" cm="1">
        <f t="array" ref="E86">fYsr(Vy0,g_m_s2,Tabela1[[#This Row],[tempo(s)]])</f>
        <v>2.3920868112866871</v>
      </c>
    </row>
    <row r="87" spans="1:5" x14ac:dyDescent="0.25">
      <c r="A87" s="20">
        <f>A86+Lançamento!B$6</f>
        <v>3.3600000000000021</v>
      </c>
      <c r="B87" s="18" cm="1">
        <f t="array" ref="B87">fxcr(Vx0,coef_Arrasto,Tabela1[[#This Row],[tempo(s)]])</f>
        <v>9.6526474105526177</v>
      </c>
      <c r="C87" s="19" cm="1">
        <f t="array" ref="C87">fYcr(Vy0,coef_Arrasto,g_m_s2,Tabela1[[#This Row],[tempo(s)]])</f>
        <v>-7.2284768468221188</v>
      </c>
      <c r="D87" s="18" cm="1">
        <f t="array" ref="D87">fXsr(Vx0,Tabela1[[#This Row],[tempo(s)]])</f>
        <v>33.60000000000003</v>
      </c>
      <c r="E87" s="19" cm="1">
        <f t="array" ref="E87">fYsr(Vy0,g_m_s2,Tabela1[[#This Row],[tempo(s)]])</f>
        <v>1.7489071343142366</v>
      </c>
    </row>
    <row r="88" spans="1:5" x14ac:dyDescent="0.25">
      <c r="A88" s="20">
        <f>A87+Lançamento!B$6</f>
        <v>3.4000000000000021</v>
      </c>
      <c r="B88" s="18" cm="1">
        <f t="array" ref="B88">fxcr(Vx0,coef_Arrasto,Tabela1[[#This Row],[tempo(s)]])</f>
        <v>9.6662673003967416</v>
      </c>
      <c r="C88" s="19" cm="1">
        <f t="array" ref="C88">fYcr(Vy0,coef_Arrasto,g_m_s2,Tabela1[[#This Row],[tempo(s)]])</f>
        <v>-7.5912666157744759</v>
      </c>
      <c r="D88" s="18" cm="1">
        <f t="array" ref="D88">fXsr(Vx0,Tabela1[[#This Row],[tempo(s)]])</f>
        <v>34.000000000000028</v>
      </c>
      <c r="E88" s="19" cm="1">
        <f t="array" ref="E88">fYsr(Vy0,g_m_s2,Tabela1[[#This Row],[tempo(s)]])</f>
        <v>1.0897274573417859</v>
      </c>
    </row>
    <row r="89" spans="1:5" x14ac:dyDescent="0.25">
      <c r="A89" s="20">
        <f>A88+Lançamento!B$6</f>
        <v>3.4400000000000022</v>
      </c>
      <c r="B89" s="18" cm="1">
        <f t="array" ref="B89">fxcr(Vx0,coef_Arrasto,Tabela1[[#This Row],[tempo(s)]])</f>
        <v>9.6793531467213949</v>
      </c>
      <c r="C89" s="19" cm="1">
        <f t="array" ref="C89">fYcr(Vy0,coef_Arrasto,g_m_s2,Tabela1[[#This Row],[tempo(s)]])</f>
        <v>-7.9555154187554855</v>
      </c>
      <c r="D89" s="18" cm="1">
        <f t="array" ref="D89">fXsr(Vx0,Tabela1[[#This Row],[tempo(s)]])</f>
        <v>34.400000000000027</v>
      </c>
      <c r="E89" s="19" cm="1">
        <f t="array" ref="E89">fYsr(Vy0,g_m_s2,Tabela1[[#This Row],[tempo(s)]])</f>
        <v>0.41454778036933537</v>
      </c>
    </row>
    <row r="90" spans="1:5" x14ac:dyDescent="0.25">
      <c r="A90" s="20">
        <f>A89+Lançamento!B$6</f>
        <v>3.4800000000000022</v>
      </c>
      <c r="B90" s="18" cm="1">
        <f t="array" ref="B90">fxcr(Vx0,coef_Arrasto,Tabela1[[#This Row],[tempo(s)]])</f>
        <v>9.6919258896724916</v>
      </c>
      <c r="C90" s="19" cm="1">
        <f t="array" ref="C90">fYcr(Vy0,coef_Arrasto,g_m_s2,Tabela1[[#This Row],[tempo(s)]])</f>
        <v>-8.32116604622259</v>
      </c>
      <c r="D90" s="18" cm="1">
        <f t="array" ref="D90">fXsr(Vx0,Tabela1[[#This Row],[tempo(s)]])</f>
        <v>34.800000000000026</v>
      </c>
      <c r="E90" s="19" cm="1">
        <f t="array" ref="E90">fYsr(Vy0,g_m_s2,Tabela1[[#This Row],[tempo(s)]])</f>
        <v>-0.27663189660311527</v>
      </c>
    </row>
    <row r="91" spans="1:5" x14ac:dyDescent="0.25">
      <c r="A91" s="20">
        <f>A90+Lançamento!B$6</f>
        <v>3.5200000000000022</v>
      </c>
      <c r="B91" s="18" cm="1">
        <f t="array" ref="B91">fxcr(Vx0,coef_Arrasto,Tabela1[[#This Row],[tempo(s)]])</f>
        <v>9.7040056483210826</v>
      </c>
      <c r="C91" s="19" cm="1">
        <f t="array" ref="C91">fYcr(Vy0,coef_Arrasto,g_m_s2,Tabela1[[#This Row],[tempo(s)]])</f>
        <v>-8.6881635318514725</v>
      </c>
      <c r="D91" s="18" cm="1">
        <f t="array" ref="D91">fXsr(Vx0,Tabela1[[#This Row],[tempo(s)]])</f>
        <v>35.200000000000031</v>
      </c>
      <c r="E91" s="19" cm="1">
        <f t="array" ref="E91">fYsr(Vy0,g_m_s2,Tabela1[[#This Row],[tempo(s)]])</f>
        <v>-0.98381157357556592</v>
      </c>
    </row>
  </sheetData>
  <mergeCells count="2">
    <mergeCell ref="B1:C1"/>
    <mergeCell ref="D1:E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2DFD71A-CEC6-4CBF-8A89-20E9ED91A38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13</vt:i4>
      </vt:variant>
    </vt:vector>
  </HeadingPairs>
  <TitlesOfParts>
    <vt:vector size="15" baseType="lpstr">
      <vt:lpstr>Lançamento</vt:lpstr>
      <vt:lpstr>Calculos</vt:lpstr>
      <vt:lpstr>coef_Arrasto</vt:lpstr>
      <vt:lpstr>Dados</vt:lpstr>
      <vt:lpstr>dt_s</vt:lpstr>
      <vt:lpstr>g_m_s2</vt:lpstr>
      <vt:lpstr>tempo</vt:lpstr>
      <vt:lpstr>Theta_°</vt:lpstr>
      <vt:lpstr>V0_m_s</vt:lpstr>
      <vt:lpstr>Vx0</vt:lpstr>
      <vt:lpstr>Vy0</vt:lpstr>
      <vt:lpstr>x_cr</vt:lpstr>
      <vt:lpstr>x_sr</vt:lpstr>
      <vt:lpstr>y_cr</vt:lpstr>
      <vt:lpstr>y_sr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henrique</dc:creator>
  <cp:keywords/>
  <dc:description/>
  <cp:lastModifiedBy>henrique</cp:lastModifiedBy>
  <cp:revision/>
  <dcterms:created xsi:type="dcterms:W3CDTF">2016-10-27T18:16:28Z</dcterms:created>
  <dcterms:modified xsi:type="dcterms:W3CDTF">2021-02-17T06:50:18Z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795cecd9-82fa-4825-8746-20b5b5e0f1dd</vt:lpwstr>
  </property>
</Properties>
</file>